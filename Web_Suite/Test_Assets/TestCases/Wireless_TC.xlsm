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95" windowWidth="15240" windowHeight="7050" tabRatio="849" activeTab="2"/>
  </bookViews>
  <sheets>
    <sheet name="Operations" sheetId="4" r:id="rId1"/>
    <sheet name="Manual-Info" sheetId="6" r:id="rId2"/>
    <sheet name="TCGoogle" sheetId="7" r:id="rId3"/>
  </sheets>
  <functionGroups/>
  <calcPr calcId="125725"/>
</workbook>
</file>

<file path=xl/calcChain.xml><?xml version="1.0" encoding="utf-8"?>
<calcChain xmlns="http://schemas.openxmlformats.org/spreadsheetml/2006/main">
  <c r="I10" i="7"/>
  <c r="H10"/>
  <c r="I9"/>
  <c r="H9"/>
  <c r="I8"/>
  <c r="H8"/>
  <c r="I7"/>
  <c r="H7"/>
  <c r="I5"/>
  <c r="H5"/>
  <c r="J25" l="1"/>
  <c r="I25"/>
  <c r="H25"/>
  <c r="I24"/>
  <c r="H24"/>
  <c r="I23"/>
  <c r="H23"/>
  <c r="I22"/>
  <c r="H22"/>
  <c r="I21"/>
  <c r="H21"/>
  <c r="I20"/>
  <c r="H20"/>
  <c r="J19"/>
  <c r="I19"/>
  <c r="H19"/>
  <c r="I18"/>
  <c r="H18"/>
  <c r="J17"/>
  <c r="I17"/>
  <c r="H17"/>
  <c r="I16"/>
  <c r="H16"/>
  <c r="J15"/>
  <c r="I15"/>
  <c r="H15"/>
  <c r="I14"/>
  <c r="H14"/>
  <c r="I13"/>
  <c r="H13"/>
  <c r="I12"/>
  <c r="H12"/>
  <c r="I11"/>
  <c r="H11"/>
  <c r="G8" i="4" l="1"/>
  <c r="G17"/>
  <c r="I22" l="1"/>
</calcChain>
</file>

<file path=xl/sharedStrings.xml><?xml version="1.0" encoding="utf-8"?>
<sst xmlns="http://schemas.openxmlformats.org/spreadsheetml/2006/main" count="609" uniqueCount="242">
  <si>
    <t>Operation</t>
  </si>
  <si>
    <t>Argument 1</t>
  </si>
  <si>
    <t>Argument 2</t>
  </si>
  <si>
    <t>Argument 3</t>
  </si>
  <si>
    <t>NA</t>
  </si>
  <si>
    <t>Arg1</t>
  </si>
  <si>
    <t>Arg2</t>
  </si>
  <si>
    <t>Arg3</t>
  </si>
  <si>
    <t>Text_To_Print</t>
  </si>
  <si>
    <t>Statements</t>
  </si>
  <si>
    <t>TestPoint</t>
  </si>
  <si>
    <t>Expected</t>
  </si>
  <si>
    <t>Actual</t>
  </si>
  <si>
    <t>ValidationPoint</t>
  </si>
  <si>
    <t>="Report.TestPoint(sTestName,  ARG1,  ARG2,  ARG3, false);"</t>
  </si>
  <si>
    <t>="Store_Step_Values.put(ARG1, tmpVar);"</t>
  </si>
  <si>
    <t>="if ( ARG1.equals(null) &amp;&amp;  ARG1.isEmpty()) { Report.TestPoint(sTestName, ""Check_Empty"" + ARG1, ""Not Empty"", ""Empty"", false); }"</t>
  </si>
  <si>
    <t>Comments</t>
  </si>
  <si>
    <t>Expected Results</t>
  </si>
  <si>
    <t>="Value get stored"</t>
  </si>
  <si>
    <t>Steps</t>
  </si>
  <si>
    <t>Description</t>
  </si>
  <si>
    <t>Step 1</t>
  </si>
  <si>
    <t>Step 2</t>
  </si>
  <si>
    <t>Step 3</t>
  </si>
  <si>
    <t>Step 4</t>
  </si>
  <si>
    <t>Step 5</t>
  </si>
  <si>
    <t>Remarks</t>
  </si>
  <si>
    <r>
      <t>Checks whether specified Variable (</t>
    </r>
    <r>
      <rPr>
        <i/>
        <sz val="9"/>
        <color theme="1"/>
        <rFont val="Calibri"/>
        <family val="2"/>
        <scheme val="minor"/>
      </rPr>
      <t>in Argument 1</t>
    </r>
    <r>
      <rPr>
        <sz val="9"/>
        <color theme="1"/>
        <rFont val="Calibri"/>
        <family val="2"/>
        <scheme val="minor"/>
      </rPr>
      <t>) is empty or null, if found then stop the execution.</t>
    </r>
  </si>
  <si>
    <t>Variable_Name</t>
  </si>
  <si>
    <t>Check_Empty_Value</t>
  </si>
  <si>
    <t>Print_Message</t>
  </si>
  <si>
    <t>Print the specified text/message to Report.</t>
  </si>
  <si>
    <t>Store_Temp_Value</t>
  </si>
  <si>
    <t>Stores the temporarily value to a specified variable for future execution.</t>
  </si>
  <si>
    <r>
      <t xml:space="preserve">Validates the expected info with actual during execution, </t>
    </r>
    <r>
      <rPr>
        <b/>
        <sz val="9"/>
        <color theme="1"/>
        <rFont val="Calibri"/>
        <family val="2"/>
        <scheme val="minor"/>
      </rPr>
      <t>if fails then stop the execution</t>
    </r>
    <r>
      <rPr>
        <sz val="9"/>
        <color theme="1"/>
        <rFont val="Calibri"/>
        <family val="2"/>
        <scheme val="minor"/>
      </rPr>
      <t xml:space="preserve">. Need to provides following arguments:
1) Description as </t>
    </r>
    <r>
      <rPr>
        <i/>
        <sz val="9"/>
        <color theme="1"/>
        <rFont val="Calibri"/>
        <family val="2"/>
        <scheme val="minor"/>
      </rPr>
      <t>Argument 1 (Step Details)
2) Expected as Argument 2
3) Actual as Argument 3</t>
    </r>
  </si>
  <si>
    <t>="Stop if empty/null"</t>
  </si>
  <si>
    <t>Package</t>
  </si>
  <si>
    <r>
      <t xml:space="preserve">Test Suite Name
</t>
    </r>
    <r>
      <rPr>
        <i/>
        <sz val="10"/>
        <color theme="1"/>
        <rFont val="Calibri"/>
        <family val="2"/>
        <scheme val="minor"/>
      </rPr>
      <t>eg. f</t>
    </r>
    <r>
      <rPr>
        <i/>
        <sz val="9"/>
        <color theme="1"/>
        <rFont val="Calibri"/>
        <family val="2"/>
        <scheme val="minor"/>
      </rPr>
      <t>ileName[sheetName]</t>
    </r>
  </si>
  <si>
    <t>Step 6</t>
  </si>
  <si>
    <t>Step 7</t>
  </si>
  <si>
    <t>Step 8</t>
  </si>
  <si>
    <t>Step 9</t>
  </si>
  <si>
    <t>Page Name</t>
  </si>
  <si>
    <t>Object Name</t>
  </si>
  <si>
    <t>Object Type</t>
  </si>
  <si>
    <r>
      <t xml:space="preserve">Object Map Name
</t>
    </r>
    <r>
      <rPr>
        <i/>
        <sz val="10"/>
        <color theme="1"/>
        <rFont val="Calibri"/>
        <family val="2"/>
        <scheme val="minor"/>
      </rPr>
      <t>eg. fileName[sheetName]</t>
    </r>
  </si>
  <si>
    <t>BUTTON</t>
  </si>
  <si>
    <t>Object_Name</t>
  </si>
  <si>
    <t>Object_Type</t>
  </si>
  <si>
    <t>OpenURL</t>
  </si>
  <si>
    <t>URL_To_Open</t>
  </si>
  <si>
    <t>EnterText</t>
  </si>
  <si>
    <t>Text_To_Enter</t>
  </si>
  <si>
    <t>Click</t>
  </si>
  <si>
    <t>TEXTBOX</t>
  </si>
  <si>
    <t>BUTTON, LINK, IMAGE, TEXTBOX</t>
  </si>
  <si>
    <t>Page_Name</t>
  </si>
  <si>
    <t>="Check whether variable '" &amp; $D[ROW] &amp; "' is empty/null or not"</t>
  </si>
  <si>
    <t>="Print to report value '" &amp; $D[ROW] &amp; "'"</t>
  </si>
  <si>
    <t>="Store the value of variable '" &amp; $D[ROW] &amp; "' for further execution"</t>
  </si>
  <si>
    <t>=$D[ROW]</t>
  </si>
  <si>
    <t>=$E[ROW]</t>
  </si>
  <si>
    <t>="Web.Print(sTestName, ARG1);"</t>
  </si>
  <si>
    <t>="Web.OpenURL(sTestName, ARG1);"</t>
  </si>
  <si>
    <t>="Validate: " &amp; $D[ROW]</t>
  </si>
  <si>
    <t>="Open URL: " &amp; $D[ROW]</t>
  </si>
  <si>
    <t>ValidateTitle</t>
  </si>
  <si>
    <t>="Web.ValidateTitle(sTestName, ARG1, ARG2);"</t>
  </si>
  <si>
    <t>="Validate Title of Browser"</t>
  </si>
  <si>
    <t>GetTitle</t>
  </si>
  <si>
    <t>="Store_Step_Values.put(ARG1, Web.GetTitle(sTestName));"</t>
  </si>
  <si>
    <t>="Get Title of Browser"</t>
  </si>
  <si>
    <t>ValidateContent</t>
  </si>
  <si>
    <t>="Enter Text '" &amp; $D[ROW] &amp;"' in object '" &amp; $B[ROW] &amp;"' of page '" &amp; $A[ROW] &amp;"'"</t>
  </si>
  <si>
    <t>="Validate contents of object '" &amp; $B[ROW] &amp;"' of page '" &amp; $A[ROW] &amp;"'"</t>
  </si>
  <si>
    <t>OR_Name</t>
  </si>
  <si>
    <t>Google</t>
  </si>
  <si>
    <t>LINK</t>
  </si>
  <si>
    <t>Expected_Title OR Part_Of_Title</t>
  </si>
  <si>
    <t>Continues_On_Fail</t>
  </si>
  <si>
    <t>Expected Value</t>
  </si>
  <si>
    <r>
      <t xml:space="preserve">Validate the title of browser with specified value. Arguments:
</t>
    </r>
    <r>
      <rPr>
        <i/>
        <sz val="9"/>
        <color theme="1"/>
        <rFont val="Calibri"/>
        <family val="2"/>
        <scheme val="minor"/>
      </rPr>
      <t>1) Expected Title OR Part of Title
2) Continue on Fails (True/False)</t>
    </r>
  </si>
  <si>
    <r>
      <t xml:space="preserve">Validate the title of browser with specified value. Arguments:
</t>
    </r>
    <r>
      <rPr>
        <i/>
        <sz val="9"/>
        <color theme="1"/>
        <rFont val="Calibri"/>
        <family val="2"/>
        <scheme val="minor"/>
      </rPr>
      <t>1) Expected Value
2) Continue on Fails (True/False)</t>
    </r>
  </si>
  <si>
    <t>VariableName_To_Store_Value</t>
  </si>
  <si>
    <t>Get the title of current browser and stores in variable specified as argument 1.</t>
  </si>
  <si>
    <t>CheckExist</t>
  </si>
  <si>
    <t>Existence (True/False)</t>
  </si>
  <si>
    <t>Continues_On_Fail(True/False)</t>
  </si>
  <si>
    <r>
      <t xml:space="preserve">Check the existence of specified Object.
Arguments:
</t>
    </r>
    <r>
      <rPr>
        <i/>
        <sz val="9"/>
        <color theme="1"/>
        <rFont val="Calibri"/>
        <family val="2"/>
        <scheme val="minor"/>
      </rPr>
      <t>1) Existence (True/False)
2) Continue on Fails (True/False)</t>
    </r>
  </si>
  <si>
    <t>="Check the existence  of object '" &amp; $B[ROW] &amp;"' of page '" &amp; $A[ROW] &amp;"'"</t>
  </si>
  <si>
    <t>="Report.ValidationPoint(sTestName,  ARG1,  ARG2,  ARG3, false);"</t>
  </si>
  <si>
    <t>Wait</t>
  </si>
  <si>
    <t>Seconds</t>
  </si>
  <si>
    <t>Wait for specified seconds.</t>
  </si>
  <si>
    <t>="Web.Wait(sTestName, ARG1);"</t>
  </si>
  <si>
    <t>="Wait for process to complete"</t>
  </si>
  <si>
    <t>="Web.CheckExist(sTestName, OBJLOC, ""OBJLOC"", ARG1, ARG2);"</t>
  </si>
  <si>
    <t>="Web.ValidateContent(sTestName, OBJLOC, ""OBJLOC"", ARG1, ARG2);"</t>
  </si>
  <si>
    <t>AT</t>
  </si>
  <si>
    <t>myAT&amp;T Login - Pay Bills Online &amp; Manage Your AT&amp;T Account</t>
  </si>
  <si>
    <t>Action_MouseOver</t>
  </si>
  <si>
    <t>Perform Mouse Over operation on specified object in continuation of sequence of operations.</t>
  </si>
  <si>
    <t>="Web.Action_MouseOver(sTestName, OBJLOC, ""OBJLOC"");"</t>
  </si>
  <si>
    <t>="Perform MouseOver operation on object '" &amp; $B[ROW] &amp;"' of page '" &amp; $A[ROW] &amp;"'"</t>
  </si>
  <si>
    <t>Action_MouseClick</t>
  </si>
  <si>
    <t>Perform Mouse Click operation on specified object in continuation of sequence of operations.</t>
  </si>
  <si>
    <t>="Web.Action_MouseClick(sTestName, OBJLOC, ""OBJLOC"");"</t>
  </si>
  <si>
    <t>="Perform MouseClick operation on object '" &amp; $B[ROW] &amp;"' of page '" &amp; $A[ROW] &amp;"'"</t>
  </si>
  <si>
    <t>ListSelect</t>
  </si>
  <si>
    <t>Text_To_Select/TextIndex</t>
  </si>
  <si>
    <t>Select the specified item from list. EITHER text to select OR text index in list.</t>
  </si>
  <si>
    <t>="Web.ListSelect(sTestName, OBJLOC, ""OBJLOC"", ARG1);"</t>
  </si>
  <si>
    <t>="Select the element '" &amp; $D[ROW] &amp;"' in list '" &amp; $B[ROW] &amp;"' of page '" &amp; $A[ROW] &amp;"'"</t>
  </si>
  <si>
    <t>ValidateSelect</t>
  </si>
  <si>
    <t>Validates  the specified text info in list</t>
  </si>
  <si>
    <t>="Web.ValidateSelect(sTestName, OBJLOC, ""OBJLOC"", ARG1);"</t>
  </si>
  <si>
    <t>="Validates the element '" &amp; $D[ROW] &amp;"' in list '" &amp; $B[ROW] &amp;"' of page '" &amp; $A[ROW] &amp;"'"</t>
  </si>
  <si>
    <t>Expected_ListItem</t>
  </si>
  <si>
    <t>Open URL: AppURL</t>
  </si>
  <si>
    <t>Validate Title of Browser</t>
  </si>
  <si>
    <t>Click on specified object.</t>
  </si>
  <si>
    <t>Enter provided text in specified object.</t>
  </si>
  <si>
    <t>StartCondition</t>
  </si>
  <si>
    <t>Start if condition provided in next line</t>
  </si>
  <si>
    <t>EndCondition</t>
  </si>
  <si>
    <t>End if condition</t>
  </si>
  <si>
    <t>Start check condition</t>
  </si>
  <si>
    <t>End check condition</t>
  </si>
  <si>
    <t>="Web.EnterText(sTestName, OBJLOC, ""OBJLOC"", ARG1, ARG3);"</t>
  </si>
  <si>
    <t>="Web.Click(sTestName, OBJLOC, ""OBJLOC"", ARG1, ARG3);"</t>
  </si>
  <si>
    <t>=" Click object '" &amp; $B[ROW] &amp;"' of page '" &amp; $A[ROW] &amp;"'"</t>
  </si>
  <si>
    <t>MESSAGE</t>
  </si>
  <si>
    <t>Submit</t>
  </si>
  <si>
    <t>CONFIG{AppURL}</t>
  </si>
  <si>
    <t>Action_ValidateLink</t>
  </si>
  <si>
    <t>Validates the navigation links available during execution</t>
  </si>
  <si>
    <t>="Web.Action_ValidateLink(sTestName, OBJLOC, ""OBJLOC"", ARG1);"</t>
  </si>
  <si>
    <t>Enter Text 'UserID' in object 'UserID' of page 'Login'</t>
  </si>
  <si>
    <t>Enter Text 'DafaultPassword' in object 'Password' of page 'Login'</t>
  </si>
  <si>
    <t>Step 10</t>
  </si>
  <si>
    <t>Step 11</t>
  </si>
  <si>
    <t>ClickTileElement</t>
  </si>
  <si>
    <t>Link</t>
  </si>
  <si>
    <t>linkname</t>
  </si>
  <si>
    <t>Account Overview</t>
  </si>
  <si>
    <t>Is your myAT&amp;T profile up-to-date?</t>
  </si>
  <si>
    <t>Enter Text 'test@att.com' in object 'Primary_Email_Address' of page 'Update_Profile'</t>
  </si>
  <si>
    <t>Enter Text 'test@att.com' in object 'confirm_Primary_Email_Address' of page 'Update_Profile'</t>
  </si>
  <si>
    <t>Step 12</t>
  </si>
  <si>
    <t>Step 13</t>
  </si>
  <si>
    <t>Step 14</t>
  </si>
  <si>
    <t>Step 15</t>
  </si>
  <si>
    <t>Perform MouseOver operation on object 'MyATT' of page 'TopPrimaryMenuLinks'</t>
  </si>
  <si>
    <t>My Profile</t>
  </si>
  <si>
    <t>Account Information</t>
  </si>
  <si>
    <t>Test Name</t>
  </si>
  <si>
    <t>Please check the fields highlighted in red, make any needed changes, and clickSave Changes.</t>
  </si>
  <si>
    <t>ValidateTextInContent</t>
  </si>
  <si>
    <t>ACCOUNT INFORMATION</t>
  </si>
  <si>
    <t>Stored Payment Method Confirmation</t>
  </si>
  <si>
    <t xml:space="preserve"> Click object 'LoginButton' of page 'Login'</t>
  </si>
  <si>
    <t xml:space="preserve"> Click object 'Continue_UpgradeEligibility' of page 'Login'</t>
  </si>
  <si>
    <t xml:space="preserve"> Click object 'Continue_NoThanks' of page 'Login'</t>
  </si>
  <si>
    <t>Validate contents of object 'Title_MissingInfo' of page 'MissingInformation'</t>
  </si>
  <si>
    <t xml:space="preserve"> Click object 'Continue' of page 'Update_Profile'</t>
  </si>
  <si>
    <t>Step 16</t>
  </si>
  <si>
    <t>Step 17</t>
  </si>
  <si>
    <t>Step 18</t>
  </si>
  <si>
    <t>Step 19</t>
  </si>
  <si>
    <t>Step 20</t>
  </si>
  <si>
    <t>Step 21</t>
  </si>
  <si>
    <t>Step 22</t>
  </si>
  <si>
    <t>Step 23</t>
  </si>
  <si>
    <t>Step 24</t>
  </si>
  <si>
    <t>Step 25</t>
  </si>
  <si>
    <t>Step 26</t>
  </si>
  <si>
    <t>Step 27</t>
  </si>
  <si>
    <t>Step 28</t>
  </si>
  <si>
    <t>Step 29</t>
  </si>
  <si>
    <t xml:space="preserve"> Click object 'Profile' of page 'TopSecondaryMenuLinks'</t>
  </si>
  <si>
    <t>Validate contents of object 'My_Profile' of page 'Profile'</t>
  </si>
  <si>
    <t xml:space="preserve"> Click object 'Account_Information' of page 'Profile'</t>
  </si>
  <si>
    <t>Validate contents of object 'Account_Information' of page 'Profile'</t>
  </si>
  <si>
    <t xml:space="preserve"> Click object 'Edit_Link_Account_Information' of page 'Profile'</t>
  </si>
  <si>
    <t>Validate contents of object 'Account_Information' of page 'AccountInformation'</t>
  </si>
  <si>
    <t>Enter Text 'Test Name' in object 'Account_Nickname_Edit' of page 'AccountInformation'</t>
  </si>
  <si>
    <t>Enter Text '987677777' in object 'UVerse_Phone_Number_Nickname1_Edit' of page 'AccountInformation'</t>
  </si>
  <si>
    <t xml:space="preserve"> Click object 'Save_Changes' of page 'AccountInformation'</t>
  </si>
  <si>
    <t xml:space="preserve"> Click object 'Go_to_Account_Info_Link' of page 'AccountInformation'</t>
  </si>
  <si>
    <t>Validate contents of object 'Account_Nickname_Value' of page 'AccountInformation'</t>
  </si>
  <si>
    <t>Validate contents of object 'Uverse_Phone_Number_Nickname_Value' of page 'AccountInformation'</t>
  </si>
  <si>
    <t xml:space="preserve"> Click object 'Edit_Link_Billing_Contact_Information' of page 'Profile'</t>
  </si>
  <si>
    <t>Step 30</t>
  </si>
  <si>
    <t>Enter Text 'test@att.com' in object 'Billing_Email_Address' of page 'BillingContactInformation'</t>
  </si>
  <si>
    <t>Step 31</t>
  </si>
  <si>
    <t xml:space="preserve"> Click object 'Save_Changes' of page 'BillingContactInformation'</t>
  </si>
  <si>
    <t>Step 32</t>
  </si>
  <si>
    <t>Validate contents of object 'Error_Message' of page 'BillingContactInformation'</t>
  </si>
  <si>
    <t>CHKBOX</t>
  </si>
  <si>
    <t>IMAGE</t>
  </si>
  <si>
    <t>.//*[@class='MarTop10 botMar20']</t>
  </si>
  <si>
    <t>SetValue</t>
  </si>
  <si>
    <t>ValueEnter</t>
  </si>
  <si>
    <t>Forcefully enter valuet in specified object.</t>
  </si>
  <si>
    <t>="Web.SetValue(sTestName, OBJLOC, ""OBJLOC"", ARG1, ARG3);"</t>
  </si>
  <si>
    <t>="Set Value '" &amp; $D[ROW] &amp;"' in object '" &amp; $B[ROW] &amp;"' of page '" &amp; $A[ROW] &amp;"'"</t>
  </si>
  <si>
    <t>SwitchToBrowser</t>
  </si>
  <si>
    <t>Switch To  Browser</t>
  </si>
  <si>
    <t>="Web.SwitchToBrowser(sTestName);"</t>
  </si>
  <si>
    <t>="Switch To Browser"</t>
  </si>
  <si>
    <t>CloseBrowser</t>
  </si>
  <si>
    <t xml:space="preserve">Close  Browser </t>
  </si>
  <si>
    <t>="Close Browser"</t>
  </si>
  <si>
    <t>="Web.CloseBrowser(sTestName);"</t>
  </si>
  <si>
    <t>Heading</t>
  </si>
  <si>
    <t>Next_Button</t>
  </si>
  <si>
    <t>ValidateOverviewPage</t>
  </si>
  <si>
    <t>Validating Overview Page Loaded or not</t>
  </si>
  <si>
    <t>="Validate Overview Page"</t>
  </si>
  <si>
    <t>="AT_Operations.ValidateOverviewPage(sTestName);"</t>
  </si>
  <si>
    <t>Objects_Map[Google]</t>
  </si>
  <si>
    <t>Sanity[Batch]</t>
  </si>
  <si>
    <t>Search</t>
  </si>
  <si>
    <t>Logo</t>
  </si>
  <si>
    <t>TextSearch</t>
  </si>
  <si>
    <t>Result</t>
  </si>
  <si>
    <t>Maps</t>
  </si>
  <si>
    <t>India_WikipediaLink</t>
  </si>
  <si>
    <t>Wikipedia</t>
  </si>
  <si>
    <t>SatyamavaJayate_Link</t>
  </si>
  <si>
    <t>SignIn</t>
  </si>
  <si>
    <t>Google_SignIn</t>
  </si>
  <si>
    <t>Email_TextBox</t>
  </si>
  <si>
    <t>Password_TextBox</t>
  </si>
  <si>
    <t>SignIn_Button</t>
  </si>
  <si>
    <t>StaySignedIn_CheckBox</t>
  </si>
  <si>
    <t>LogOut_Button</t>
  </si>
  <si>
    <t>Account_Link</t>
  </si>
  <si>
    <t>juhi.rana2007</t>
  </si>
  <si>
    <t>new@0987</t>
  </si>
  <si>
    <t>CONFIG - GoogleURL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</si>
</sst>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DDC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4">
    <xf numFmtId="0" fontId="0" fillId="0" borderId="0" xfId="0"/>
    <xf numFmtId="0" fontId="2" fillId="0" borderId="0" xfId="0" applyFont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49" fontId="4" fillId="2" borderId="1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49" fontId="3" fillId="0" borderId="1" xfId="0" applyNumberFormat="1" applyFont="1" applyBorder="1" applyAlignment="1">
      <alignment vertical="center" wrapText="1"/>
    </xf>
    <xf numFmtId="0" fontId="2" fillId="0" borderId="0" xfId="0" applyFont="1" applyAlignment="1">
      <alignment vertical="center" shrinkToFit="1"/>
    </xf>
    <xf numFmtId="0" fontId="5" fillId="2" borderId="1" xfId="0" applyFont="1" applyFill="1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6" borderId="1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2" fillId="5" borderId="4" xfId="0" applyFont="1" applyFill="1" applyBorder="1" applyAlignment="1">
      <alignment vertical="center" wrapText="1"/>
    </xf>
    <xf numFmtId="0" fontId="2" fillId="5" borderId="5" xfId="0" applyFont="1" applyFill="1" applyBorder="1" applyAlignment="1">
      <alignment vertical="center" wrapText="1"/>
    </xf>
    <xf numFmtId="0" fontId="3" fillId="5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0" fillId="5" borderId="1" xfId="1" applyFill="1" applyBorder="1" applyAlignment="1" applyProtection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left" vertical="center" wrapText="1"/>
    </xf>
    <xf numFmtId="0" fontId="1" fillId="7" borderId="3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7"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strike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DDDC3"/>
      <color rgb="FFFEF4EC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new@0987" TargetMode="Externa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8"/>
  <sheetViews>
    <sheetView topLeftCell="A19" zoomScale="90" zoomScaleNormal="90" workbookViewId="0">
      <selection activeCell="C33" sqref="C33"/>
    </sheetView>
  </sheetViews>
  <sheetFormatPr defaultRowHeight="12"/>
  <cols>
    <col min="1" max="1" width="18.28515625" style="5" bestFit="1" customWidth="1"/>
    <col min="2" max="2" width="19.28515625" style="5" customWidth="1"/>
    <col min="3" max="3" width="18.140625" style="5" customWidth="1"/>
    <col min="4" max="4" width="15.5703125" style="5" customWidth="1"/>
    <col min="5" max="5" width="13" style="5" customWidth="1"/>
    <col min="6" max="6" width="38.85546875" style="5" customWidth="1"/>
    <col min="7" max="7" width="36.28515625" style="4" customWidth="1"/>
    <col min="8" max="8" width="22.28515625" style="4" customWidth="1"/>
    <col min="9" max="9" width="19.42578125" style="4" customWidth="1"/>
    <col min="10" max="16384" width="9.140625" style="4"/>
  </cols>
  <sheetData>
    <row r="1" spans="1:9">
      <c r="A1" s="2" t="s">
        <v>0</v>
      </c>
      <c r="B1" s="2" t="s">
        <v>5</v>
      </c>
      <c r="C1" s="2" t="s">
        <v>6</v>
      </c>
      <c r="D1" s="2" t="s">
        <v>7</v>
      </c>
      <c r="E1" s="2" t="s">
        <v>45</v>
      </c>
      <c r="F1" s="2" t="s">
        <v>27</v>
      </c>
      <c r="G1" s="3" t="s">
        <v>9</v>
      </c>
      <c r="H1" s="3" t="s">
        <v>17</v>
      </c>
      <c r="I1" s="3" t="s">
        <v>18</v>
      </c>
    </row>
    <row r="2" spans="1:9" ht="48">
      <c r="A2" s="5" t="s">
        <v>105</v>
      </c>
      <c r="B2" s="5" t="s">
        <v>4</v>
      </c>
      <c r="C2" s="5" t="s">
        <v>4</v>
      </c>
      <c r="D2" s="5" t="s">
        <v>4</v>
      </c>
      <c r="E2" s="5" t="s">
        <v>4</v>
      </c>
      <c r="F2" s="5" t="s">
        <v>106</v>
      </c>
      <c r="G2" s="6" t="s">
        <v>107</v>
      </c>
      <c r="H2" s="6" t="s">
        <v>108</v>
      </c>
      <c r="I2" s="5"/>
    </row>
    <row r="3" spans="1:9" ht="48">
      <c r="A3" s="5" t="s">
        <v>101</v>
      </c>
      <c r="B3" s="5" t="s">
        <v>4</v>
      </c>
      <c r="C3" s="5" t="s">
        <v>4</v>
      </c>
      <c r="D3" s="5" t="s">
        <v>4</v>
      </c>
      <c r="E3" s="5" t="s">
        <v>4</v>
      </c>
      <c r="F3" s="5" t="s">
        <v>102</v>
      </c>
      <c r="G3" s="6" t="s">
        <v>103</v>
      </c>
      <c r="H3" s="6" t="s">
        <v>104</v>
      </c>
      <c r="I3" s="5"/>
    </row>
    <row r="4" spans="1:9" ht="48">
      <c r="A4" s="5" t="s">
        <v>135</v>
      </c>
      <c r="B4" s="5" t="s">
        <v>80</v>
      </c>
      <c r="C4" s="5" t="s">
        <v>4</v>
      </c>
      <c r="D4" s="5" t="s">
        <v>4</v>
      </c>
      <c r="E4" s="5" t="s">
        <v>4</v>
      </c>
      <c r="F4" s="5" t="s">
        <v>136</v>
      </c>
      <c r="G4" s="6" t="s">
        <v>137</v>
      </c>
      <c r="H4" s="6" t="s">
        <v>108</v>
      </c>
      <c r="I4" s="5"/>
    </row>
    <row r="5" spans="1:9" ht="48">
      <c r="A5" s="5" t="s">
        <v>30</v>
      </c>
      <c r="B5" s="5" t="s">
        <v>29</v>
      </c>
      <c r="C5" s="5" t="s">
        <v>4</v>
      </c>
      <c r="D5" s="5" t="s">
        <v>4</v>
      </c>
      <c r="E5" s="5" t="s">
        <v>4</v>
      </c>
      <c r="F5" s="5" t="s">
        <v>28</v>
      </c>
      <c r="G5" s="6" t="s">
        <v>16</v>
      </c>
      <c r="H5" s="6" t="s">
        <v>58</v>
      </c>
      <c r="I5" s="6" t="s">
        <v>36</v>
      </c>
    </row>
    <row r="6" spans="1:9" ht="48">
      <c r="A6" s="5" t="s">
        <v>86</v>
      </c>
      <c r="B6" s="5" t="s">
        <v>87</v>
      </c>
      <c r="C6" s="5" t="s">
        <v>88</v>
      </c>
      <c r="D6" s="5" t="s">
        <v>4</v>
      </c>
      <c r="E6" s="5" t="s">
        <v>4</v>
      </c>
      <c r="F6" s="5" t="s">
        <v>89</v>
      </c>
      <c r="G6" s="6" t="s">
        <v>97</v>
      </c>
      <c r="H6" s="6" t="s">
        <v>90</v>
      </c>
      <c r="I6" s="6" t="s">
        <v>61</v>
      </c>
    </row>
    <row r="7" spans="1:9" ht="36">
      <c r="A7" s="5" t="s">
        <v>54</v>
      </c>
      <c r="B7" s="5" t="s">
        <v>4</v>
      </c>
      <c r="C7" s="5" t="s">
        <v>4</v>
      </c>
      <c r="D7" s="22" t="b">
        <v>0</v>
      </c>
      <c r="E7" s="5" t="s">
        <v>56</v>
      </c>
      <c r="F7" s="5" t="s">
        <v>121</v>
      </c>
      <c r="G7" s="6" t="s">
        <v>130</v>
      </c>
      <c r="H7" s="6" t="s">
        <v>131</v>
      </c>
      <c r="I7" s="6"/>
    </row>
    <row r="8" spans="1:9">
      <c r="A8" s="5" t="s">
        <v>125</v>
      </c>
      <c r="B8" s="5" t="s">
        <v>4</v>
      </c>
      <c r="C8" s="5" t="s">
        <v>4</v>
      </c>
      <c r="D8" s="5" t="s">
        <v>4</v>
      </c>
      <c r="E8" s="5" t="s">
        <v>4</v>
      </c>
      <c r="F8" s="5" t="s">
        <v>126</v>
      </c>
      <c r="G8" s="5" t="str">
        <f>"}"</f>
        <v>}</v>
      </c>
      <c r="H8" s="5" t="s">
        <v>128</v>
      </c>
      <c r="I8" s="5"/>
    </row>
    <row r="9" spans="1:9" ht="48">
      <c r="A9" s="5" t="s">
        <v>52</v>
      </c>
      <c r="B9" s="5" t="s">
        <v>53</v>
      </c>
      <c r="C9" s="5" t="s">
        <v>4</v>
      </c>
      <c r="D9" s="22" t="b">
        <v>0</v>
      </c>
      <c r="E9" s="5" t="s">
        <v>55</v>
      </c>
      <c r="F9" s="5" t="s">
        <v>122</v>
      </c>
      <c r="G9" s="6" t="s">
        <v>129</v>
      </c>
      <c r="H9" s="6" t="s">
        <v>74</v>
      </c>
      <c r="I9" s="6"/>
    </row>
    <row r="10" spans="1:9" ht="48">
      <c r="A10" s="5" t="s">
        <v>202</v>
      </c>
      <c r="B10" s="5" t="s">
        <v>203</v>
      </c>
      <c r="C10" s="5" t="s">
        <v>4</v>
      </c>
      <c r="D10" s="22" t="b">
        <v>0</v>
      </c>
      <c r="E10" s="5" t="s">
        <v>55</v>
      </c>
      <c r="F10" s="5" t="s">
        <v>204</v>
      </c>
      <c r="G10" s="6" t="s">
        <v>205</v>
      </c>
      <c r="H10" s="6" t="s">
        <v>206</v>
      </c>
      <c r="I10" s="6"/>
    </row>
    <row r="11" spans="1:9" s="26" customFormat="1" ht="31.5">
      <c r="A11" s="24" t="s">
        <v>207</v>
      </c>
      <c r="B11" s="24" t="s">
        <v>4</v>
      </c>
      <c r="C11" s="24" t="s">
        <v>4</v>
      </c>
      <c r="D11" s="24" t="s">
        <v>4</v>
      </c>
      <c r="E11" s="24" t="s">
        <v>4</v>
      </c>
      <c r="F11" s="24" t="s">
        <v>208</v>
      </c>
      <c r="G11" s="25" t="s">
        <v>209</v>
      </c>
      <c r="H11" s="25" t="s">
        <v>210</v>
      </c>
      <c r="I11" s="25"/>
    </row>
    <row r="12" spans="1:9" s="26" customFormat="1" ht="15.75">
      <c r="A12" s="24" t="s">
        <v>211</v>
      </c>
      <c r="B12" s="24" t="s">
        <v>4</v>
      </c>
      <c r="C12" s="24" t="s">
        <v>4</v>
      </c>
      <c r="D12" s="24" t="s">
        <v>4</v>
      </c>
      <c r="E12" s="24" t="s">
        <v>4</v>
      </c>
      <c r="F12" s="24" t="s">
        <v>212</v>
      </c>
      <c r="G12" s="25" t="s">
        <v>214</v>
      </c>
      <c r="H12" s="25" t="s">
        <v>213</v>
      </c>
      <c r="I12" s="25"/>
    </row>
    <row r="13" spans="1:9" ht="24">
      <c r="A13" s="5" t="s">
        <v>70</v>
      </c>
      <c r="B13" s="5" t="s">
        <v>84</v>
      </c>
      <c r="C13" s="5" t="s">
        <v>4</v>
      </c>
      <c r="D13" s="5" t="s">
        <v>4</v>
      </c>
      <c r="E13" s="5" t="s">
        <v>4</v>
      </c>
      <c r="F13" s="5" t="s">
        <v>85</v>
      </c>
      <c r="G13" s="6" t="s">
        <v>71</v>
      </c>
      <c r="H13" s="6" t="s">
        <v>72</v>
      </c>
      <c r="I13" s="6"/>
    </row>
    <row r="14" spans="1:9" ht="48">
      <c r="A14" s="5" t="s">
        <v>109</v>
      </c>
      <c r="B14" s="5" t="s">
        <v>110</v>
      </c>
      <c r="C14" s="5" t="s">
        <v>4</v>
      </c>
      <c r="D14" s="5" t="s">
        <v>4</v>
      </c>
      <c r="E14" s="5" t="s">
        <v>4</v>
      </c>
      <c r="F14" s="5" t="s">
        <v>111</v>
      </c>
      <c r="G14" s="6" t="s">
        <v>112</v>
      </c>
      <c r="H14" s="6" t="s">
        <v>113</v>
      </c>
      <c r="I14" s="5"/>
    </row>
    <row r="15" spans="1:9" ht="36">
      <c r="A15" s="5" t="s">
        <v>50</v>
      </c>
      <c r="B15" s="5" t="s">
        <v>51</v>
      </c>
      <c r="C15" s="5" t="s">
        <v>4</v>
      </c>
      <c r="D15" s="5" t="s">
        <v>4</v>
      </c>
      <c r="E15" s="5" t="s">
        <v>4</v>
      </c>
      <c r="F15" s="5" t="s">
        <v>28</v>
      </c>
      <c r="G15" s="6" t="s">
        <v>64</v>
      </c>
      <c r="H15" s="6" t="s">
        <v>66</v>
      </c>
      <c r="I15" s="6"/>
    </row>
    <row r="16" spans="1:9" ht="24">
      <c r="A16" s="5" t="s">
        <v>31</v>
      </c>
      <c r="B16" s="5" t="s">
        <v>8</v>
      </c>
      <c r="C16" s="5" t="s">
        <v>4</v>
      </c>
      <c r="D16" s="5" t="s">
        <v>4</v>
      </c>
      <c r="E16" s="5" t="s">
        <v>4</v>
      </c>
      <c r="F16" s="5" t="s">
        <v>32</v>
      </c>
      <c r="G16" s="6" t="s">
        <v>63</v>
      </c>
      <c r="H16" s="6" t="s">
        <v>59</v>
      </c>
      <c r="I16" s="6"/>
    </row>
    <row r="17" spans="1:9">
      <c r="A17" s="5" t="s">
        <v>123</v>
      </c>
      <c r="B17" s="5" t="s">
        <v>4</v>
      </c>
      <c r="C17" s="5" t="s">
        <v>4</v>
      </c>
      <c r="D17" s="5" t="s">
        <v>4</v>
      </c>
      <c r="E17" s="5" t="s">
        <v>4</v>
      </c>
      <c r="F17" s="5" t="s">
        <v>124</v>
      </c>
      <c r="G17" s="5" t="str">
        <f>"if "</f>
        <v xml:space="preserve">if </v>
      </c>
      <c r="H17" s="5" t="s">
        <v>127</v>
      </c>
      <c r="I17" s="5"/>
    </row>
    <row r="18" spans="1:9" ht="36">
      <c r="A18" s="5" t="s">
        <v>33</v>
      </c>
      <c r="B18" s="5" t="s">
        <v>29</v>
      </c>
      <c r="C18" s="5" t="s">
        <v>4</v>
      </c>
      <c r="D18" s="5" t="s">
        <v>4</v>
      </c>
      <c r="E18" s="5" t="s">
        <v>4</v>
      </c>
      <c r="F18" s="5" t="s">
        <v>34</v>
      </c>
      <c r="G18" s="6" t="s">
        <v>15</v>
      </c>
      <c r="H18" s="6" t="s">
        <v>60</v>
      </c>
      <c r="I18" s="6" t="s">
        <v>19</v>
      </c>
    </row>
    <row r="19" spans="1:9" ht="72">
      <c r="A19" s="5" t="s">
        <v>10</v>
      </c>
      <c r="B19" s="5" t="s">
        <v>21</v>
      </c>
      <c r="C19" s="5" t="s">
        <v>11</v>
      </c>
      <c r="D19" s="5" t="s">
        <v>12</v>
      </c>
      <c r="E19" s="5" t="s">
        <v>4</v>
      </c>
      <c r="F19" s="5" t="s">
        <v>35</v>
      </c>
      <c r="G19" s="6" t="s">
        <v>14</v>
      </c>
      <c r="H19" s="6" t="s">
        <v>65</v>
      </c>
      <c r="I19" s="6" t="s">
        <v>62</v>
      </c>
    </row>
    <row r="20" spans="1:9" ht="48">
      <c r="A20" s="5" t="s">
        <v>73</v>
      </c>
      <c r="B20" s="5" t="s">
        <v>81</v>
      </c>
      <c r="C20" s="5" t="s">
        <v>80</v>
      </c>
      <c r="D20" s="5" t="s">
        <v>4</v>
      </c>
      <c r="E20" s="5" t="s">
        <v>4</v>
      </c>
      <c r="F20" s="5" t="s">
        <v>83</v>
      </c>
      <c r="G20" s="6" t="s">
        <v>98</v>
      </c>
      <c r="H20" s="6" t="s">
        <v>75</v>
      </c>
      <c r="I20" s="6" t="s">
        <v>61</v>
      </c>
    </row>
    <row r="21" spans="1:9" ht="48">
      <c r="A21" s="5" t="s">
        <v>158</v>
      </c>
      <c r="B21" s="5" t="s">
        <v>81</v>
      </c>
      <c r="C21" s="5" t="s">
        <v>80</v>
      </c>
      <c r="D21" s="5" t="s">
        <v>4</v>
      </c>
      <c r="E21" s="5" t="s">
        <v>4</v>
      </c>
      <c r="F21" s="5" t="s">
        <v>83</v>
      </c>
      <c r="G21" s="6" t="s">
        <v>98</v>
      </c>
      <c r="H21" s="6" t="s">
        <v>75</v>
      </c>
      <c r="I21" s="6" t="s">
        <v>61</v>
      </c>
    </row>
    <row r="22" spans="1:9" ht="48">
      <c r="A22" s="5" t="s">
        <v>114</v>
      </c>
      <c r="B22" s="5" t="s">
        <v>118</v>
      </c>
      <c r="C22" s="5" t="s">
        <v>4</v>
      </c>
      <c r="D22" s="5" t="s">
        <v>4</v>
      </c>
      <c r="E22" s="5" t="s">
        <v>4</v>
      </c>
      <c r="F22" s="5" t="s">
        <v>115</v>
      </c>
      <c r="G22" s="6" t="s">
        <v>116</v>
      </c>
      <c r="H22" s="6" t="s">
        <v>117</v>
      </c>
      <c r="I22" s="5" t="str">
        <f>"Match in list"</f>
        <v>Match in list</v>
      </c>
    </row>
    <row r="23" spans="1:9" ht="48">
      <c r="A23" s="5" t="s">
        <v>67</v>
      </c>
      <c r="B23" s="5" t="s">
        <v>79</v>
      </c>
      <c r="C23" s="5" t="s">
        <v>80</v>
      </c>
      <c r="D23" s="5" t="s">
        <v>4</v>
      </c>
      <c r="E23" s="5" t="s">
        <v>4</v>
      </c>
      <c r="F23" s="5" t="s">
        <v>82</v>
      </c>
      <c r="G23" s="6" t="s">
        <v>68</v>
      </c>
      <c r="H23" s="6" t="s">
        <v>69</v>
      </c>
      <c r="I23" s="6" t="s">
        <v>61</v>
      </c>
    </row>
    <row r="24" spans="1:9" ht="72">
      <c r="A24" s="5" t="s">
        <v>13</v>
      </c>
      <c r="B24" s="5" t="s">
        <v>21</v>
      </c>
      <c r="C24" s="5" t="s">
        <v>11</v>
      </c>
      <c r="D24" s="5" t="s">
        <v>12</v>
      </c>
      <c r="E24" s="5" t="s">
        <v>4</v>
      </c>
      <c r="F24" s="5" t="s">
        <v>35</v>
      </c>
      <c r="G24" s="6" t="s">
        <v>91</v>
      </c>
      <c r="H24" s="6" t="s">
        <v>65</v>
      </c>
      <c r="I24" s="6" t="s">
        <v>62</v>
      </c>
    </row>
    <row r="25" spans="1:9" ht="24">
      <c r="A25" s="5" t="s">
        <v>92</v>
      </c>
      <c r="B25" s="5" t="s">
        <v>93</v>
      </c>
      <c r="C25" s="5" t="s">
        <v>4</v>
      </c>
      <c r="D25" s="5" t="s">
        <v>4</v>
      </c>
      <c r="E25" s="5" t="s">
        <v>4</v>
      </c>
      <c r="F25" s="5" t="s">
        <v>94</v>
      </c>
      <c r="G25" s="6" t="s">
        <v>95</v>
      </c>
      <c r="H25" s="6" t="s">
        <v>96</v>
      </c>
      <c r="I25" s="5"/>
    </row>
    <row r="26" spans="1:9" ht="36">
      <c r="A26" s="5" t="s">
        <v>142</v>
      </c>
      <c r="B26" s="5" t="s">
        <v>144</v>
      </c>
      <c r="C26" s="5" t="s">
        <v>4</v>
      </c>
      <c r="D26" s="22" t="b">
        <v>0</v>
      </c>
      <c r="E26" s="5" t="s">
        <v>143</v>
      </c>
      <c r="F26" s="5" t="s">
        <v>121</v>
      </c>
      <c r="G26" s="6" t="s">
        <v>130</v>
      </c>
      <c r="H26" s="6" t="s">
        <v>131</v>
      </c>
      <c r="I26" s="6"/>
    </row>
    <row r="27" spans="1:9" ht="31.5">
      <c r="A27" s="5" t="s">
        <v>217</v>
      </c>
      <c r="B27" s="24" t="s">
        <v>4</v>
      </c>
      <c r="C27" s="24" t="s">
        <v>4</v>
      </c>
      <c r="D27" s="24" t="s">
        <v>4</v>
      </c>
      <c r="E27" s="24" t="s">
        <v>4</v>
      </c>
      <c r="F27" s="24" t="s">
        <v>218</v>
      </c>
      <c r="G27" s="25" t="s">
        <v>220</v>
      </c>
      <c r="H27" s="25" t="s">
        <v>219</v>
      </c>
    </row>
    <row r="28" spans="1:9" ht="15.75">
      <c r="B28" s="24"/>
      <c r="C28" s="24"/>
      <c r="D28" s="24"/>
      <c r="E28" s="24"/>
    </row>
  </sheetData>
  <sortState ref="A2:I21">
    <sortCondition ref="A2:A21"/>
  </sortState>
  <pageMargins left="0.7" right="0.7" top="0.75" bottom="0.75" header="0.3" footer="0.3"/>
  <pageSetup orientation="portrait" r:id="rId1"/>
  <headerFooter>
    <oddFooter>&amp;CAT&amp;&amp;T Proprietary (Internal Use Only)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H33"/>
  <sheetViews>
    <sheetView workbookViewId="0">
      <selection activeCell="B12" sqref="B12"/>
    </sheetView>
  </sheetViews>
  <sheetFormatPr defaultRowHeight="15"/>
  <cols>
    <col min="1" max="1" width="8.5703125" style="11" customWidth="1"/>
    <col min="2" max="2" width="99.85546875" style="11" customWidth="1"/>
    <col min="3" max="3" width="38.140625" style="11" customWidth="1"/>
    <col min="4" max="16384" width="9.140625" style="10"/>
  </cols>
  <sheetData>
    <row r="1" spans="1:8">
      <c r="A1" s="8" t="s">
        <v>20</v>
      </c>
      <c r="B1" s="8" t="s">
        <v>21</v>
      </c>
      <c r="C1" s="8" t="s">
        <v>18</v>
      </c>
      <c r="D1" s="9"/>
      <c r="E1" s="9"/>
      <c r="F1" s="9"/>
      <c r="G1" s="9"/>
      <c r="H1" s="9"/>
    </row>
    <row r="2" spans="1:8">
      <c r="A2" s="11" t="s">
        <v>22</v>
      </c>
      <c r="B2" s="11" t="s">
        <v>119</v>
      </c>
      <c r="D2" s="9"/>
      <c r="E2" s="9"/>
      <c r="F2" s="9"/>
      <c r="G2" s="9"/>
      <c r="H2" s="9"/>
    </row>
    <row r="3" spans="1:8" ht="30">
      <c r="A3" s="11" t="s">
        <v>23</v>
      </c>
      <c r="B3" s="11" t="s">
        <v>120</v>
      </c>
      <c r="C3" s="11" t="s">
        <v>100</v>
      </c>
      <c r="D3" s="9"/>
      <c r="E3" s="9"/>
      <c r="F3" s="9"/>
      <c r="G3" s="9"/>
      <c r="H3" s="9"/>
    </row>
    <row r="4" spans="1:8">
      <c r="A4" s="11" t="s">
        <v>24</v>
      </c>
      <c r="B4" s="11" t="s">
        <v>138</v>
      </c>
      <c r="D4" s="9"/>
      <c r="E4" s="9"/>
      <c r="F4" s="9"/>
      <c r="G4" s="9"/>
      <c r="H4" s="9"/>
    </row>
    <row r="5" spans="1:8">
      <c r="A5" s="11" t="s">
        <v>25</v>
      </c>
      <c r="B5" s="11" t="s">
        <v>139</v>
      </c>
      <c r="D5" s="9"/>
      <c r="E5" s="9"/>
      <c r="F5" s="9"/>
      <c r="G5" s="9"/>
      <c r="H5" s="9"/>
    </row>
    <row r="6" spans="1:8">
      <c r="A6" s="11" t="s">
        <v>26</v>
      </c>
      <c r="B6" s="11" t="s">
        <v>161</v>
      </c>
      <c r="D6" s="9"/>
      <c r="E6" s="9"/>
      <c r="F6" s="9"/>
      <c r="G6" s="9"/>
      <c r="H6" s="9"/>
    </row>
    <row r="7" spans="1:8">
      <c r="A7" s="11" t="s">
        <v>39</v>
      </c>
      <c r="B7" s="11" t="s">
        <v>162</v>
      </c>
      <c r="D7" s="9"/>
      <c r="E7" s="9"/>
      <c r="F7" s="9"/>
      <c r="G7" s="9"/>
      <c r="H7" s="9"/>
    </row>
    <row r="8" spans="1:8">
      <c r="A8" s="11" t="s">
        <v>40</v>
      </c>
      <c r="B8" s="11" t="s">
        <v>163</v>
      </c>
      <c r="D8" s="9"/>
      <c r="E8" s="9"/>
      <c r="F8" s="9"/>
      <c r="G8" s="9"/>
      <c r="H8" s="9"/>
    </row>
    <row r="9" spans="1:8">
      <c r="A9" s="11" t="s">
        <v>41</v>
      </c>
      <c r="B9" s="11" t="s">
        <v>127</v>
      </c>
      <c r="D9" s="9"/>
      <c r="E9" s="9"/>
      <c r="F9" s="9"/>
      <c r="G9" s="9"/>
      <c r="H9" s="9"/>
    </row>
    <row r="10" spans="1:8">
      <c r="A10" s="11" t="s">
        <v>42</v>
      </c>
      <c r="B10" s="11" t="s">
        <v>164</v>
      </c>
      <c r="C10" s="11" t="s">
        <v>146</v>
      </c>
      <c r="D10" s="9"/>
      <c r="E10" s="9"/>
      <c r="F10" s="9"/>
      <c r="G10" s="9"/>
      <c r="H10" s="9"/>
    </row>
    <row r="11" spans="1:8">
      <c r="A11" s="11" t="s">
        <v>140</v>
      </c>
      <c r="B11" s="11" t="s">
        <v>147</v>
      </c>
      <c r="D11" s="9"/>
      <c r="E11" s="9"/>
      <c r="F11" s="9"/>
      <c r="G11" s="9"/>
      <c r="H11" s="9"/>
    </row>
    <row r="12" spans="1:8">
      <c r="A12" s="11" t="s">
        <v>141</v>
      </c>
      <c r="B12" s="11" t="s">
        <v>148</v>
      </c>
      <c r="D12" s="9"/>
      <c r="E12" s="9"/>
      <c r="F12" s="9"/>
      <c r="G12" s="9"/>
      <c r="H12" s="9"/>
    </row>
    <row r="13" spans="1:8">
      <c r="A13" s="11" t="s">
        <v>149</v>
      </c>
      <c r="B13" s="11" t="s">
        <v>165</v>
      </c>
      <c r="D13" s="9"/>
      <c r="E13" s="9"/>
      <c r="F13" s="9"/>
      <c r="G13" s="9"/>
      <c r="H13" s="9"/>
    </row>
    <row r="14" spans="1:8">
      <c r="A14" s="11" t="s">
        <v>150</v>
      </c>
      <c r="B14" s="11" t="s">
        <v>128</v>
      </c>
      <c r="D14" s="9"/>
      <c r="E14" s="9"/>
      <c r="F14" s="9"/>
      <c r="G14" s="9"/>
      <c r="H14" s="9"/>
    </row>
    <row r="15" spans="1:8">
      <c r="A15" s="11" t="s">
        <v>151</v>
      </c>
      <c r="B15" s="11" t="s">
        <v>120</v>
      </c>
      <c r="C15" s="11" t="s">
        <v>145</v>
      </c>
    </row>
    <row r="16" spans="1:8">
      <c r="A16" s="11" t="s">
        <v>152</v>
      </c>
      <c r="B16" s="11" t="s">
        <v>153</v>
      </c>
    </row>
    <row r="17" spans="1:3">
      <c r="A17" s="11" t="s">
        <v>166</v>
      </c>
      <c r="B17" s="11" t="s">
        <v>180</v>
      </c>
    </row>
    <row r="18" spans="1:3">
      <c r="A18" s="11" t="s">
        <v>167</v>
      </c>
      <c r="B18" s="11" t="s">
        <v>181</v>
      </c>
      <c r="C18" s="11" t="s">
        <v>154</v>
      </c>
    </row>
    <row r="19" spans="1:3">
      <c r="A19" s="11" t="s">
        <v>168</v>
      </c>
      <c r="B19" s="11" t="s">
        <v>182</v>
      </c>
    </row>
    <row r="20" spans="1:3">
      <c r="A20" s="11" t="s">
        <v>169</v>
      </c>
      <c r="B20" s="11" t="s">
        <v>183</v>
      </c>
      <c r="C20" s="11" t="s">
        <v>159</v>
      </c>
    </row>
    <row r="21" spans="1:3">
      <c r="A21" s="11" t="s">
        <v>170</v>
      </c>
      <c r="B21" s="11" t="s">
        <v>184</v>
      </c>
    </row>
    <row r="22" spans="1:3">
      <c r="A22" s="11" t="s">
        <v>171</v>
      </c>
      <c r="B22" s="11" t="s">
        <v>185</v>
      </c>
      <c r="C22" s="11" t="s">
        <v>155</v>
      </c>
    </row>
    <row r="23" spans="1:3">
      <c r="A23" s="11" t="s">
        <v>172</v>
      </c>
      <c r="B23" s="11" t="s">
        <v>186</v>
      </c>
    </row>
    <row r="24" spans="1:3">
      <c r="A24" s="11" t="s">
        <v>173</v>
      </c>
      <c r="B24" s="11" t="s">
        <v>187</v>
      </c>
    </row>
    <row r="25" spans="1:3">
      <c r="A25" s="11" t="s">
        <v>174</v>
      </c>
      <c r="B25" s="11" t="s">
        <v>188</v>
      </c>
    </row>
    <row r="26" spans="1:3">
      <c r="A26" s="11" t="s">
        <v>175</v>
      </c>
      <c r="B26" s="11" t="s">
        <v>181</v>
      </c>
      <c r="C26" s="11" t="s">
        <v>160</v>
      </c>
    </row>
    <row r="27" spans="1:3">
      <c r="A27" s="11" t="s">
        <v>176</v>
      </c>
      <c r="B27" s="11" t="s">
        <v>189</v>
      </c>
    </row>
    <row r="28" spans="1:3">
      <c r="A28" s="11" t="s">
        <v>177</v>
      </c>
      <c r="B28" s="11" t="s">
        <v>190</v>
      </c>
      <c r="C28" s="11" t="s">
        <v>156</v>
      </c>
    </row>
    <row r="29" spans="1:3">
      <c r="A29" s="11" t="s">
        <v>178</v>
      </c>
      <c r="B29" s="11" t="s">
        <v>191</v>
      </c>
      <c r="C29" s="11">
        <v>987677777</v>
      </c>
    </row>
    <row r="30" spans="1:3">
      <c r="A30" s="11" t="s">
        <v>179</v>
      </c>
      <c r="B30" s="11" t="s">
        <v>192</v>
      </c>
    </row>
    <row r="31" spans="1:3">
      <c r="A31" s="11" t="s">
        <v>193</v>
      </c>
      <c r="B31" s="11" t="s">
        <v>194</v>
      </c>
    </row>
    <row r="32" spans="1:3">
      <c r="A32" s="11" t="s">
        <v>195</v>
      </c>
      <c r="B32" s="11" t="s">
        <v>196</v>
      </c>
    </row>
    <row r="33" spans="1:3" ht="45">
      <c r="A33" s="11" t="s">
        <v>197</v>
      </c>
      <c r="B33" s="11" t="s">
        <v>198</v>
      </c>
      <c r="C33" s="11" t="s">
        <v>157</v>
      </c>
    </row>
  </sheetData>
  <pageMargins left="0.7" right="0.7" top="0.75" bottom="0.75" header="0.3" footer="0.3"/>
  <pageSetup orientation="portrait" r:id="rId1"/>
  <headerFooter>
    <oddFooter>&amp;CAT&amp;&amp;T Proprietary (Internal Use Only)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D5001"/>
  <sheetViews>
    <sheetView tabSelected="1" zoomScaleNormal="100" workbookViewId="0">
      <pane ySplit="4" topLeftCell="A5" activePane="bottomLeft" state="frozen"/>
      <selection pane="bottomLeft" activeCell="C6" sqref="C6"/>
    </sheetView>
  </sheetViews>
  <sheetFormatPr defaultRowHeight="12.75"/>
  <cols>
    <col min="1" max="1" width="21.140625" style="14" customWidth="1"/>
    <col min="2" max="2" width="25" style="14" customWidth="1"/>
    <col min="3" max="3" width="28.42578125" style="12" customWidth="1"/>
    <col min="4" max="4" width="26.5703125" style="21" customWidth="1"/>
    <col min="5" max="5" width="25.7109375" style="21" customWidth="1"/>
    <col min="6" max="6" width="24.85546875" style="21" customWidth="1"/>
    <col min="7" max="7" width="32.7109375" style="1" customWidth="1"/>
    <col min="8" max="8" width="13.7109375" style="7" hidden="1" customWidth="1"/>
    <col min="9" max="9" width="33.140625" style="7" hidden="1" customWidth="1"/>
    <col min="10" max="10" width="9.140625" style="7" hidden="1" customWidth="1"/>
    <col min="11" max="11" width="9.140625" style="1" hidden="1" customWidth="1"/>
    <col min="12" max="16384" width="9.140625" style="1"/>
  </cols>
  <sheetData>
    <row r="1" spans="1:30" ht="14.25" customHeight="1">
      <c r="A1" s="30" t="s">
        <v>38</v>
      </c>
      <c r="B1" s="32" t="s">
        <v>222</v>
      </c>
      <c r="C1" s="30" t="s">
        <v>37</v>
      </c>
      <c r="D1" s="28" t="s">
        <v>77</v>
      </c>
      <c r="E1" s="30" t="s">
        <v>46</v>
      </c>
      <c r="F1" s="28" t="s">
        <v>221</v>
      </c>
      <c r="Z1" s="1" t="s">
        <v>241</v>
      </c>
      <c r="AA1" t="s">
        <v>57</v>
      </c>
      <c r="AB1" t="s">
        <v>48</v>
      </c>
      <c r="AC1" t="s">
        <v>49</v>
      </c>
      <c r="AD1" t="s">
        <v>76</v>
      </c>
    </row>
    <row r="2" spans="1:30" ht="17.25" customHeight="1">
      <c r="A2" s="31"/>
      <c r="B2" s="33"/>
      <c r="C2" s="31"/>
      <c r="D2" s="29"/>
      <c r="E2" s="31"/>
      <c r="F2" s="29"/>
      <c r="AA2" t="s">
        <v>4</v>
      </c>
      <c r="AB2" t="s">
        <v>4</v>
      </c>
      <c r="AC2" t="s">
        <v>4</v>
      </c>
      <c r="AD2" t="s">
        <v>4</v>
      </c>
    </row>
    <row r="3" spans="1:30" ht="41.25" customHeight="1">
      <c r="A3" s="15"/>
      <c r="B3" s="16"/>
      <c r="C3" s="16"/>
      <c r="D3" s="18"/>
      <c r="E3" s="18"/>
      <c r="F3" s="19"/>
      <c r="AA3" t="s">
        <v>223</v>
      </c>
      <c r="AB3" t="s">
        <v>224</v>
      </c>
      <c r="AC3" t="s">
        <v>200</v>
      </c>
      <c r="AD3" t="s">
        <v>77</v>
      </c>
    </row>
    <row r="4" spans="1:30" ht="15">
      <c r="A4" s="13" t="s">
        <v>43</v>
      </c>
      <c r="B4" s="13" t="s">
        <v>44</v>
      </c>
      <c r="C4" s="13" t="s">
        <v>0</v>
      </c>
      <c r="D4" s="20" t="s">
        <v>1</v>
      </c>
      <c r="E4" s="20" t="s">
        <v>2</v>
      </c>
      <c r="F4" s="20" t="s">
        <v>3</v>
      </c>
      <c r="AA4" t="s">
        <v>223</v>
      </c>
      <c r="AB4" t="s">
        <v>225</v>
      </c>
      <c r="AC4" t="s">
        <v>55</v>
      </c>
      <c r="AD4" t="s">
        <v>77</v>
      </c>
    </row>
    <row r="5" spans="1:30" ht="15">
      <c r="A5" s="14" t="s">
        <v>4</v>
      </c>
      <c r="B5" s="14" t="s">
        <v>4</v>
      </c>
      <c r="C5" s="12" t="s">
        <v>50</v>
      </c>
      <c r="D5" s="21" t="s">
        <v>134</v>
      </c>
      <c r="E5" s="21" t="s">
        <v>4</v>
      </c>
      <c r="F5" s="21" t="s">
        <v>4</v>
      </c>
      <c r="H5" s="7" t="str">
        <f>"Web.OpenURL(sTestName, ARG1);"</f>
        <v>Web.OpenURL(sTestName, ARG1);</v>
      </c>
      <c r="I5" s="7" t="str">
        <f>"Open URL: " &amp; $D5</f>
        <v>Open URL: CONFIG{AppURL}</v>
      </c>
      <c r="K5" s="1" t="s">
        <v>77</v>
      </c>
      <c r="AA5" t="s">
        <v>223</v>
      </c>
      <c r="AB5" t="s">
        <v>133</v>
      </c>
      <c r="AC5" t="s">
        <v>47</v>
      </c>
      <c r="AD5" t="s">
        <v>77</v>
      </c>
    </row>
    <row r="6" spans="1:30" ht="15">
      <c r="A6" s="14" t="s">
        <v>223</v>
      </c>
      <c r="B6" s="14" t="s">
        <v>231</v>
      </c>
      <c r="C6" s="12" t="s">
        <v>54</v>
      </c>
      <c r="D6" s="21" t="s">
        <v>4</v>
      </c>
      <c r="E6" s="21" t="s">
        <v>4</v>
      </c>
      <c r="F6" s="21" t="s">
        <v>4</v>
      </c>
      <c r="AA6" t="s">
        <v>226</v>
      </c>
      <c r="AB6" t="s">
        <v>225</v>
      </c>
      <c r="AC6" t="s">
        <v>55</v>
      </c>
      <c r="AD6" t="s">
        <v>77</v>
      </c>
    </row>
    <row r="7" spans="1:30" ht="12.75" customHeight="1">
      <c r="A7" s="14" t="s">
        <v>232</v>
      </c>
      <c r="B7" s="14" t="s">
        <v>233</v>
      </c>
      <c r="C7" s="12" t="s">
        <v>52</v>
      </c>
      <c r="D7" s="21" t="s">
        <v>239</v>
      </c>
      <c r="E7" s="21" t="s">
        <v>4</v>
      </c>
      <c r="F7" s="21" t="b">
        <v>0</v>
      </c>
      <c r="H7" s="7" t="str">
        <f>"Web.EnterText(sTestName, OBJLOC, ""OBJLOC"", ARG1, ARG3);"</f>
        <v>Web.EnterText(sTestName, OBJLOC, "OBJLOC", ARG1, ARG3);</v>
      </c>
      <c r="I7" s="7" t="str">
        <f>"Enter Text '" &amp; $D7 &amp;"' in object '" &amp; $B7 &amp;"' of page '" &amp; $A7 &amp;"'"</f>
        <v>Enter Text 'juhi.rana2007' in object 'Email_TextBox' of page 'Google_SignIn'</v>
      </c>
      <c r="K7" s="1" t="s">
        <v>77</v>
      </c>
      <c r="AA7" t="s">
        <v>226</v>
      </c>
      <c r="AB7" t="s">
        <v>227</v>
      </c>
      <c r="AC7" t="s">
        <v>78</v>
      </c>
      <c r="AD7" t="s">
        <v>77</v>
      </c>
    </row>
    <row r="8" spans="1:30" ht="15">
      <c r="A8" s="17" t="s">
        <v>232</v>
      </c>
      <c r="B8" s="14" t="s">
        <v>216</v>
      </c>
      <c r="C8" s="12" t="s">
        <v>54</v>
      </c>
      <c r="D8" s="21" t="s">
        <v>4</v>
      </c>
      <c r="E8" s="21" t="s">
        <v>4</v>
      </c>
      <c r="F8" s="21" t="s">
        <v>4</v>
      </c>
      <c r="H8" s="7" t="str">
        <f>"Web.Click(sTestName, OBJLOC, ""OBJLOC"", ARG1, ARG3);"</f>
        <v>Web.Click(sTestName, OBJLOC, "OBJLOC", ARG1, ARG3);</v>
      </c>
      <c r="I8" s="7" t="str">
        <f>" Click object '" &amp; $B8 &amp;"' of page '" &amp; $A8 &amp;"'"</f>
        <v xml:space="preserve"> Click object 'Next_Button' of page 'Google_SignIn'</v>
      </c>
      <c r="K8" s="1" t="s">
        <v>77</v>
      </c>
      <c r="AA8" t="s">
        <v>226</v>
      </c>
      <c r="AB8" t="s">
        <v>228</v>
      </c>
      <c r="AC8" t="s">
        <v>78</v>
      </c>
      <c r="AD8" t="s">
        <v>77</v>
      </c>
    </row>
    <row r="9" spans="1:30" ht="15">
      <c r="A9" s="17" t="s">
        <v>232</v>
      </c>
      <c r="B9" s="14" t="s">
        <v>234</v>
      </c>
      <c r="C9" s="12" t="s">
        <v>52</v>
      </c>
      <c r="D9" s="27" t="s">
        <v>240</v>
      </c>
      <c r="E9" s="21" t="s">
        <v>4</v>
      </c>
      <c r="F9" s="21" t="b">
        <v>0</v>
      </c>
      <c r="H9" s="7" t="str">
        <f>"Web.EnterText(sTestName, OBJLOC, ""OBJLOC"", ARG1, ARG3);"</f>
        <v>Web.EnterText(sTestName, OBJLOC, "OBJLOC", ARG1, ARG3);</v>
      </c>
      <c r="I9" s="7" t="str">
        <f>"Enter Text '" &amp; $D9 &amp;"' in object '" &amp; $B9 &amp;"' of page '" &amp; $A9 &amp;"'"</f>
        <v>Enter Text 'new@0987' in object 'Password_TextBox' of page 'Google_SignIn'</v>
      </c>
      <c r="K9" s="1" t="s">
        <v>77</v>
      </c>
      <c r="AA9" t="s">
        <v>229</v>
      </c>
      <c r="AB9" t="s">
        <v>224</v>
      </c>
      <c r="AC9" t="s">
        <v>200</v>
      </c>
      <c r="AD9" t="s">
        <v>77</v>
      </c>
    </row>
    <row r="10" spans="1:30" ht="15">
      <c r="A10" s="14" t="s">
        <v>232</v>
      </c>
      <c r="B10" s="14" t="s">
        <v>235</v>
      </c>
      <c r="C10" s="12" t="s">
        <v>54</v>
      </c>
      <c r="D10" s="21" t="s">
        <v>4</v>
      </c>
      <c r="E10" s="21" t="s">
        <v>4</v>
      </c>
      <c r="F10" s="21" t="s">
        <v>4</v>
      </c>
      <c r="H10" s="7" t="str">
        <f>"Web.Click(sTestName, OBJLOC, ""OBJLOC"", ARG1, ARG3);"</f>
        <v>Web.Click(sTestName, OBJLOC, "OBJLOC", ARG1, ARG3);</v>
      </c>
      <c r="I10" s="7" t="str">
        <f>" Click object '" &amp; $B10 &amp;"' of page '" &amp; $A10 &amp;"'"</f>
        <v xml:space="preserve"> Click object 'SignIn_Button' of page 'Google_SignIn'</v>
      </c>
      <c r="K10" s="1" t="s">
        <v>77</v>
      </c>
      <c r="AA10" t="s">
        <v>229</v>
      </c>
      <c r="AB10" t="s">
        <v>230</v>
      </c>
      <c r="AC10" t="s">
        <v>78</v>
      </c>
      <c r="AD10" t="s">
        <v>77</v>
      </c>
    </row>
    <row r="11" spans="1:30" ht="15">
      <c r="H11" s="7" t="str">
        <f>"Web.Click(sTestName, OBJLOC, ""OBJLOC"", ARG1, ARG3);"</f>
        <v>Web.Click(sTestName, OBJLOC, "OBJLOC", ARG1, ARG3);</v>
      </c>
      <c r="I11" s="7" t="str">
        <f>" Click object '" &amp; $B11 &amp;"' of page '" &amp; $A11 &amp;"'"</f>
        <v xml:space="preserve"> Click object '' of page ''</v>
      </c>
      <c r="K11" s="1" t="s">
        <v>99</v>
      </c>
      <c r="AA11" t="s">
        <v>229</v>
      </c>
      <c r="AB11" t="s">
        <v>215</v>
      </c>
      <c r="AC11" t="s">
        <v>132</v>
      </c>
      <c r="AD11" t="s">
        <v>77</v>
      </c>
    </row>
    <row r="12" spans="1:30" ht="15">
      <c r="A12" s="17"/>
      <c r="H12" s="7" t="str">
        <f>"Web.EnterText(sTestName, OBJLOC, ""OBJLOC"", ARG1, ARG3);"</f>
        <v>Web.EnterText(sTestName, OBJLOC, "OBJLOC", ARG1, ARG3);</v>
      </c>
      <c r="I12" s="7" t="str">
        <f>"Enter Text '" &amp; $D12 &amp;"' in object '" &amp; $B12 &amp;"' of page '" &amp; $A12 &amp;"'"</f>
        <v>Enter Text '' in object '' of page ''</v>
      </c>
      <c r="K12" s="1" t="s">
        <v>99</v>
      </c>
      <c r="AA12" t="s">
        <v>223</v>
      </c>
      <c r="AB12" t="s">
        <v>231</v>
      </c>
      <c r="AC12" t="s">
        <v>47</v>
      </c>
      <c r="AD12" t="s">
        <v>77</v>
      </c>
    </row>
    <row r="13" spans="1:30" ht="15">
      <c r="A13" s="17"/>
      <c r="H13" s="7" t="str">
        <f>"Web.EnterText(sTestName, OBJLOC, ""OBJLOC"", ARG1, ARG3);"</f>
        <v>Web.EnterText(sTestName, OBJLOC, "OBJLOC", ARG1, ARG3);</v>
      </c>
      <c r="I13" s="7" t="str">
        <f>"Enter Text '" &amp; $D13 &amp;"' in object '" &amp; $B13 &amp;"' of page '" &amp; $A13 &amp;"'"</f>
        <v>Enter Text '' in object '' of page ''</v>
      </c>
      <c r="K13" s="1" t="s">
        <v>99</v>
      </c>
      <c r="AA13" t="s">
        <v>232</v>
      </c>
      <c r="AB13" t="s">
        <v>233</v>
      </c>
      <c r="AC13" t="s">
        <v>55</v>
      </c>
      <c r="AD13" t="s">
        <v>77</v>
      </c>
    </row>
    <row r="14" spans="1:30" ht="15">
      <c r="H14" s="7" t="str">
        <f>"Web.Click(sTestName, OBJLOC, ""OBJLOC"", ARG1, ARG3);"</f>
        <v>Web.Click(sTestName, OBJLOC, "OBJLOC", ARG1, ARG3);</v>
      </c>
      <c r="I14" s="7" t="str">
        <f>" Click object '" &amp; $B14 &amp;"' of page '" &amp; $A14 &amp;"'"</f>
        <v xml:space="preserve"> Click object '' of page ''</v>
      </c>
      <c r="K14" s="1" t="s">
        <v>99</v>
      </c>
      <c r="AA14" t="s">
        <v>232</v>
      </c>
      <c r="AB14" t="s">
        <v>216</v>
      </c>
      <c r="AC14" t="s">
        <v>47</v>
      </c>
      <c r="AD14" t="s">
        <v>77</v>
      </c>
    </row>
    <row r="15" spans="1:30" ht="15">
      <c r="H15" s="7" t="str">
        <f>"Web.ValidateTitle(sTestName, ARG1, ARG2);"</f>
        <v>Web.ValidateTitle(sTestName, ARG1, ARG2);</v>
      </c>
      <c r="I15" s="7" t="str">
        <f>"Validate Title of Browser"</f>
        <v>Validate Title of Browser</v>
      </c>
      <c r="J15" s="7">
        <f>$D15</f>
        <v>0</v>
      </c>
      <c r="K15" s="1" t="s">
        <v>99</v>
      </c>
      <c r="AA15" t="s">
        <v>232</v>
      </c>
      <c r="AB15" t="s">
        <v>234</v>
      </c>
      <c r="AC15" t="s">
        <v>55</v>
      </c>
      <c r="AD15" t="s">
        <v>77</v>
      </c>
    </row>
    <row r="16" spans="1:30" ht="15">
      <c r="H16" s="7" t="str">
        <f>"Web.Click(sTestName, OBJLOC, ""OBJLOC"", ARG1, ARG3);"</f>
        <v>Web.Click(sTestName, OBJLOC, "OBJLOC", ARG1, ARG3);</v>
      </c>
      <c r="I16" s="7" t="str">
        <f>" Click object '" &amp; $B16 &amp;"' of page '" &amp; $A16 &amp;"'"</f>
        <v xml:space="preserve"> Click object '' of page ''</v>
      </c>
      <c r="K16" s="1" t="s">
        <v>99</v>
      </c>
      <c r="AA16" t="s">
        <v>232</v>
      </c>
      <c r="AB16" t="s">
        <v>235</v>
      </c>
      <c r="AC16" t="s">
        <v>47</v>
      </c>
      <c r="AD16" t="s">
        <v>77</v>
      </c>
    </row>
    <row r="17" spans="8:30" ht="15">
      <c r="H17" s="7" t="str">
        <f>"Web.ValidateTitle(sTestName, ARG1, ARG2);"</f>
        <v>Web.ValidateTitle(sTestName, ARG1, ARG2);</v>
      </c>
      <c r="I17" s="7" t="str">
        <f>"Validate Title of Browser"</f>
        <v>Validate Title of Browser</v>
      </c>
      <c r="J17" s="7">
        <f>$D17</f>
        <v>0</v>
      </c>
      <c r="AA17" t="s">
        <v>232</v>
      </c>
      <c r="AB17" t="s">
        <v>236</v>
      </c>
      <c r="AC17" t="s">
        <v>199</v>
      </c>
      <c r="AD17" t="s">
        <v>77</v>
      </c>
    </row>
    <row r="18" spans="8:30" ht="15">
      <c r="H18" s="7" t="str">
        <f>"Web.Click(sTestName, OBJLOC, ""OBJLOC"", ARG1, ARG3);"</f>
        <v>Web.Click(sTestName, OBJLOC, "OBJLOC", ARG1, ARG3);</v>
      </c>
      <c r="I18" s="7" t="str">
        <f>" Click object '" &amp; $B18 &amp;"' of page '" &amp; $A18 &amp;"'"</f>
        <v xml:space="preserve"> Click object '' of page ''</v>
      </c>
      <c r="K18" s="1" t="s">
        <v>99</v>
      </c>
      <c r="AA18" t="s">
        <v>232</v>
      </c>
      <c r="AB18" t="s">
        <v>237</v>
      </c>
      <c r="AC18" t="s">
        <v>47</v>
      </c>
      <c r="AD18" t="s">
        <v>77</v>
      </c>
    </row>
    <row r="19" spans="8:30" ht="15">
      <c r="H19" s="7" t="str">
        <f>"Web.ValidateTitle(sTestName, ARG1, ARG2);"</f>
        <v>Web.ValidateTitle(sTestName, ARG1, ARG2);</v>
      </c>
      <c r="I19" s="7" t="str">
        <f>"Validate Title of Browser"</f>
        <v>Validate Title of Browser</v>
      </c>
      <c r="J19" s="7">
        <f>$D19</f>
        <v>0</v>
      </c>
      <c r="AA19" t="s">
        <v>232</v>
      </c>
      <c r="AB19" t="s">
        <v>238</v>
      </c>
      <c r="AC19" t="s">
        <v>78</v>
      </c>
      <c r="AD19" t="s">
        <v>77</v>
      </c>
    </row>
    <row r="20" spans="8:30" ht="15">
      <c r="H20" s="7" t="str">
        <f>"Web.Click(sTestName, OBJLOC, ""OBJLOC"", ARG1, ARG3);"</f>
        <v>Web.Click(sTestName, OBJLOC, "OBJLOC", ARG1, ARG3);</v>
      </c>
      <c r="I20" s="7" t="str">
        <f>" Click object '" &amp; $B20 &amp;"' of page '" &amp; $A20 &amp;"'"</f>
        <v xml:space="preserve"> Click object '' of page ''</v>
      </c>
      <c r="K20" s="1" t="s">
        <v>99</v>
      </c>
      <c r="AA20"/>
      <c r="AB20"/>
      <c r="AC20"/>
      <c r="AD20" t="s">
        <v>77</v>
      </c>
    </row>
    <row r="21" spans="8:30" ht="15">
      <c r="H21" s="7" t="str">
        <f>"Web.Click(sTestName, OBJLOC, ""OBJLOC"", ARG1, ARG3);"</f>
        <v>Web.Click(sTestName, OBJLOC, "OBJLOC", ARG1, ARG3);</v>
      </c>
      <c r="I21" s="7" t="str">
        <f>" Click object '" &amp; $B21 &amp;"' of page '" &amp; $A21 &amp;"'"</f>
        <v xml:space="preserve"> Click object '' of page ''</v>
      </c>
      <c r="K21" s="1" t="s">
        <v>99</v>
      </c>
      <c r="AA21"/>
      <c r="AB21"/>
      <c r="AC21"/>
      <c r="AD21" t="s">
        <v>77</v>
      </c>
    </row>
    <row r="22" spans="8:30" ht="15">
      <c r="H22" s="7" t="str">
        <f>"Web.Click(sTestName, OBJLOC, ""OBJLOC"", ARG1, ARG3);"</f>
        <v>Web.Click(sTestName, OBJLOC, "OBJLOC", ARG1, ARG3);</v>
      </c>
      <c r="I22" s="7" t="str">
        <f>" Click object '" &amp; $B22 &amp;"' of page '" &amp; $A22 &amp;"'"</f>
        <v xml:space="preserve"> Click object '' of page ''</v>
      </c>
      <c r="K22" s="1" t="s">
        <v>99</v>
      </c>
      <c r="AA22"/>
      <c r="AB22"/>
      <c r="AC22"/>
      <c r="AD22" t="s">
        <v>77</v>
      </c>
    </row>
    <row r="23" spans="8:30" ht="15">
      <c r="H23" s="7" t="str">
        <f>"Web.Click(sTestName, OBJLOC, ""OBJLOC"", ARG1, ARG3);"</f>
        <v>Web.Click(sTestName, OBJLOC, "OBJLOC", ARG1, ARG3);</v>
      </c>
      <c r="I23" s="7" t="str">
        <f>" Click object '" &amp; $B23 &amp;"' of page '" &amp; $A23 &amp;"'"</f>
        <v xml:space="preserve"> Click object '' of page ''</v>
      </c>
      <c r="K23" s="1" t="s">
        <v>99</v>
      </c>
      <c r="AA23"/>
      <c r="AB23"/>
      <c r="AC23"/>
      <c r="AD23" t="s">
        <v>77</v>
      </c>
    </row>
    <row r="24" spans="8:30" ht="15">
      <c r="H24" s="7" t="str">
        <f>"Web.Click(sTestName, OBJLOC, ""OBJLOC"", ARG1, ARG3);"</f>
        <v>Web.Click(sTestName, OBJLOC, "OBJLOC", ARG1, ARG3);</v>
      </c>
      <c r="I24" s="7" t="str">
        <f>" Click object '" &amp; $B24 &amp;"' of page '" &amp; $A24 &amp;"'"</f>
        <v xml:space="preserve"> Click object '' of page ''</v>
      </c>
      <c r="K24" s="1" t="s">
        <v>99</v>
      </c>
      <c r="AA24"/>
      <c r="AB24"/>
      <c r="AC24"/>
      <c r="AD24" t="s">
        <v>77</v>
      </c>
    </row>
    <row r="25" spans="8:30" ht="15">
      <c r="H25" s="7" t="str">
        <f>"Web.ValidateTitle(sTestName, ARG1, ARG2);"</f>
        <v>Web.ValidateTitle(sTestName, ARG1, ARG2);</v>
      </c>
      <c r="I25" s="7" t="str">
        <f>"Validate Title of Browser"</f>
        <v>Validate Title of Browser</v>
      </c>
      <c r="J25" s="7">
        <f>$D25</f>
        <v>0</v>
      </c>
      <c r="AA25"/>
      <c r="AB25"/>
      <c r="AC25"/>
      <c r="AD25" t="s">
        <v>77</v>
      </c>
    </row>
    <row r="26" spans="8:30" ht="15">
      <c r="AA26"/>
      <c r="AB26"/>
      <c r="AC26"/>
      <c r="AD26" t="s">
        <v>77</v>
      </c>
    </row>
    <row r="27" spans="8:30" ht="15">
      <c r="AA27"/>
      <c r="AB27"/>
      <c r="AC27"/>
      <c r="AD27" t="s">
        <v>77</v>
      </c>
    </row>
    <row r="28" spans="8:30" ht="15">
      <c r="AA28"/>
      <c r="AB28"/>
      <c r="AC28"/>
      <c r="AD28" t="s">
        <v>77</v>
      </c>
    </row>
    <row r="29" spans="8:30" ht="15">
      <c r="AA29"/>
      <c r="AB29"/>
      <c r="AC29"/>
      <c r="AD29" t="s">
        <v>77</v>
      </c>
    </row>
    <row r="30" spans="8:30" ht="15">
      <c r="AA30"/>
      <c r="AB30"/>
      <c r="AC30"/>
      <c r="AD30" t="s">
        <v>77</v>
      </c>
    </row>
    <row r="31" spans="8:30" ht="15">
      <c r="AA31"/>
      <c r="AB31"/>
      <c r="AC31"/>
      <c r="AD31" t="s">
        <v>77</v>
      </c>
    </row>
    <row r="32" spans="8:30" ht="15">
      <c r="AA32"/>
      <c r="AB32"/>
      <c r="AC32"/>
      <c r="AD32" t="s">
        <v>77</v>
      </c>
    </row>
    <row r="33" spans="27:30" ht="15">
      <c r="AA33"/>
      <c r="AB33"/>
      <c r="AC33"/>
      <c r="AD33" t="s">
        <v>77</v>
      </c>
    </row>
    <row r="34" spans="27:30" ht="15">
      <c r="AA34"/>
      <c r="AB34"/>
      <c r="AC34"/>
      <c r="AD34" t="s">
        <v>77</v>
      </c>
    </row>
    <row r="35" spans="27:30" ht="15">
      <c r="AA35"/>
      <c r="AB35"/>
      <c r="AC35"/>
      <c r="AD35" t="s">
        <v>77</v>
      </c>
    </row>
    <row r="36" spans="27:30" ht="15">
      <c r="AA36"/>
      <c r="AB36"/>
      <c r="AC36"/>
      <c r="AD36" t="s">
        <v>77</v>
      </c>
    </row>
    <row r="37" spans="27:30" ht="15">
      <c r="AA37"/>
      <c r="AB37"/>
      <c r="AC37"/>
      <c r="AD37" t="s">
        <v>77</v>
      </c>
    </row>
    <row r="38" spans="27:30" ht="15">
      <c r="AA38"/>
      <c r="AB38"/>
      <c r="AC38"/>
      <c r="AD38" t="s">
        <v>77</v>
      </c>
    </row>
    <row r="39" spans="27:30" ht="15">
      <c r="AA39"/>
      <c r="AB39"/>
      <c r="AC39"/>
      <c r="AD39" t="s">
        <v>77</v>
      </c>
    </row>
    <row r="40" spans="27:30" ht="15">
      <c r="AA40"/>
      <c r="AB40"/>
      <c r="AC40"/>
      <c r="AD40" t="s">
        <v>77</v>
      </c>
    </row>
    <row r="41" spans="27:30" ht="15">
      <c r="AA41"/>
      <c r="AB41"/>
      <c r="AC41"/>
      <c r="AD41" t="s">
        <v>77</v>
      </c>
    </row>
    <row r="42" spans="27:30" ht="15">
      <c r="AA42"/>
      <c r="AB42"/>
      <c r="AC42"/>
      <c r="AD42" t="s">
        <v>77</v>
      </c>
    </row>
    <row r="43" spans="27:30" ht="15">
      <c r="AA43"/>
      <c r="AB43"/>
      <c r="AC43"/>
      <c r="AD43" t="s">
        <v>77</v>
      </c>
    </row>
    <row r="44" spans="27:30" ht="15">
      <c r="AA44"/>
      <c r="AB44"/>
      <c r="AC44"/>
      <c r="AD44" t="s">
        <v>77</v>
      </c>
    </row>
    <row r="45" spans="27:30" ht="15">
      <c r="AA45"/>
      <c r="AB45"/>
      <c r="AC45"/>
      <c r="AD45" t="s">
        <v>77</v>
      </c>
    </row>
    <row r="46" spans="27:30" ht="15">
      <c r="AA46"/>
      <c r="AB46"/>
      <c r="AC46"/>
      <c r="AD46" t="s">
        <v>77</v>
      </c>
    </row>
    <row r="47" spans="27:30" ht="15">
      <c r="AA47"/>
      <c r="AB47"/>
      <c r="AC47"/>
      <c r="AD47" t="s">
        <v>77</v>
      </c>
    </row>
    <row r="48" spans="27:30" ht="15">
      <c r="AA48"/>
      <c r="AB48"/>
      <c r="AC48"/>
      <c r="AD48" t="s">
        <v>77</v>
      </c>
    </row>
    <row r="49" spans="27:30" ht="15">
      <c r="AA49"/>
      <c r="AB49"/>
      <c r="AC49"/>
      <c r="AD49" t="s">
        <v>77</v>
      </c>
    </row>
    <row r="50" spans="27:30" ht="15">
      <c r="AA50"/>
      <c r="AB50"/>
      <c r="AC50"/>
      <c r="AD50" t="s">
        <v>77</v>
      </c>
    </row>
    <row r="51" spans="27:30" ht="15">
      <c r="AA51"/>
      <c r="AB51"/>
      <c r="AC51"/>
      <c r="AD51" t="s">
        <v>77</v>
      </c>
    </row>
    <row r="52" spans="27:30" ht="15">
      <c r="AA52"/>
      <c r="AB52"/>
      <c r="AC52"/>
      <c r="AD52" t="s">
        <v>77</v>
      </c>
    </row>
    <row r="53" spans="27:30" ht="15">
      <c r="AA53"/>
      <c r="AB53"/>
      <c r="AC53"/>
      <c r="AD53" t="s">
        <v>77</v>
      </c>
    </row>
    <row r="54" spans="27:30" ht="15">
      <c r="AA54"/>
      <c r="AB54"/>
      <c r="AC54"/>
      <c r="AD54" t="s">
        <v>77</v>
      </c>
    </row>
    <row r="55" spans="27:30" ht="15">
      <c r="AA55"/>
      <c r="AB55"/>
      <c r="AC55"/>
      <c r="AD55" t="s">
        <v>77</v>
      </c>
    </row>
    <row r="56" spans="27:30" ht="15">
      <c r="AA56"/>
      <c r="AB56"/>
      <c r="AC56"/>
      <c r="AD56" t="s">
        <v>77</v>
      </c>
    </row>
    <row r="57" spans="27:30" ht="15">
      <c r="AA57"/>
      <c r="AB57"/>
      <c r="AC57"/>
      <c r="AD57" t="s">
        <v>77</v>
      </c>
    </row>
    <row r="58" spans="27:30" ht="15">
      <c r="AA58"/>
      <c r="AB58"/>
      <c r="AC58"/>
      <c r="AD58" t="s">
        <v>77</v>
      </c>
    </row>
    <row r="59" spans="27:30" ht="15">
      <c r="AA59"/>
      <c r="AB59"/>
      <c r="AC59"/>
      <c r="AD59" t="s">
        <v>77</v>
      </c>
    </row>
    <row r="60" spans="27:30" ht="15">
      <c r="AA60"/>
      <c r="AB60"/>
      <c r="AC60"/>
      <c r="AD60" t="s">
        <v>77</v>
      </c>
    </row>
    <row r="61" spans="27:30" ht="15">
      <c r="AA61"/>
      <c r="AB61"/>
      <c r="AC61"/>
      <c r="AD61" t="s">
        <v>77</v>
      </c>
    </row>
    <row r="62" spans="27:30" ht="15">
      <c r="AA62"/>
      <c r="AB62"/>
      <c r="AC62"/>
      <c r="AD62" t="s">
        <v>77</v>
      </c>
    </row>
    <row r="63" spans="27:30" ht="15">
      <c r="AA63"/>
      <c r="AB63"/>
      <c r="AC63"/>
      <c r="AD63" t="s">
        <v>77</v>
      </c>
    </row>
    <row r="64" spans="27:30" ht="15">
      <c r="AA64"/>
      <c r="AB64"/>
      <c r="AC64"/>
      <c r="AD64" t="s">
        <v>77</v>
      </c>
    </row>
    <row r="65" spans="27:30" ht="15">
      <c r="AA65"/>
      <c r="AB65"/>
      <c r="AC65"/>
      <c r="AD65" t="s">
        <v>77</v>
      </c>
    </row>
    <row r="66" spans="27:30" ht="15">
      <c r="AA66"/>
      <c r="AB66"/>
      <c r="AC66"/>
      <c r="AD66" t="s">
        <v>77</v>
      </c>
    </row>
    <row r="67" spans="27:30" ht="15">
      <c r="AA67"/>
      <c r="AB67"/>
      <c r="AC67"/>
      <c r="AD67" t="s">
        <v>77</v>
      </c>
    </row>
    <row r="68" spans="27:30" ht="15">
      <c r="AA68"/>
      <c r="AB68"/>
      <c r="AC68"/>
      <c r="AD68" t="s">
        <v>77</v>
      </c>
    </row>
    <row r="69" spans="27:30" ht="15">
      <c r="AA69"/>
      <c r="AB69"/>
      <c r="AC69"/>
      <c r="AD69" t="s">
        <v>77</v>
      </c>
    </row>
    <row r="70" spans="27:30" ht="15">
      <c r="AA70"/>
      <c r="AB70"/>
      <c r="AC70"/>
      <c r="AD70" t="s">
        <v>77</v>
      </c>
    </row>
    <row r="71" spans="27:30" ht="15">
      <c r="AA71"/>
      <c r="AB71"/>
      <c r="AC71"/>
      <c r="AD71" t="s">
        <v>77</v>
      </c>
    </row>
    <row r="72" spans="27:30" ht="15">
      <c r="AA72"/>
      <c r="AB72"/>
      <c r="AC72"/>
      <c r="AD72" t="s">
        <v>77</v>
      </c>
    </row>
    <row r="73" spans="27:30" ht="15">
      <c r="AA73"/>
      <c r="AB73"/>
      <c r="AC73"/>
      <c r="AD73" t="s">
        <v>77</v>
      </c>
    </row>
    <row r="74" spans="27:30" ht="15">
      <c r="AA74"/>
      <c r="AB74"/>
      <c r="AC74"/>
      <c r="AD74" t="s">
        <v>77</v>
      </c>
    </row>
    <row r="75" spans="27:30" ht="15">
      <c r="AA75"/>
      <c r="AB75"/>
      <c r="AC75"/>
      <c r="AD75" t="s">
        <v>77</v>
      </c>
    </row>
    <row r="76" spans="27:30" ht="15">
      <c r="AA76"/>
      <c r="AB76"/>
      <c r="AC76"/>
      <c r="AD76" t="s">
        <v>77</v>
      </c>
    </row>
    <row r="77" spans="27:30" ht="15">
      <c r="AA77"/>
      <c r="AB77"/>
      <c r="AC77"/>
      <c r="AD77" t="s">
        <v>77</v>
      </c>
    </row>
    <row r="78" spans="27:30" ht="15">
      <c r="AA78"/>
      <c r="AB78"/>
      <c r="AC78"/>
      <c r="AD78" t="s">
        <v>77</v>
      </c>
    </row>
    <row r="79" spans="27:30" ht="15">
      <c r="AA79"/>
      <c r="AB79"/>
      <c r="AC79"/>
      <c r="AD79" t="s">
        <v>77</v>
      </c>
    </row>
    <row r="80" spans="27:30" ht="15">
      <c r="AA80"/>
      <c r="AB80"/>
      <c r="AC80"/>
      <c r="AD80" t="s">
        <v>77</v>
      </c>
    </row>
    <row r="81" spans="27:30" ht="15">
      <c r="AA81"/>
      <c r="AB81"/>
      <c r="AC81"/>
      <c r="AD81" t="s">
        <v>77</v>
      </c>
    </row>
    <row r="82" spans="27:30" ht="15">
      <c r="AA82"/>
      <c r="AB82"/>
      <c r="AC82"/>
      <c r="AD82" t="s">
        <v>77</v>
      </c>
    </row>
    <row r="83" spans="27:30" ht="15">
      <c r="AA83"/>
      <c r="AB83"/>
      <c r="AC83"/>
      <c r="AD83" t="s">
        <v>77</v>
      </c>
    </row>
    <row r="84" spans="27:30" ht="15">
      <c r="AA84"/>
      <c r="AB84"/>
      <c r="AC84"/>
      <c r="AD84" t="s">
        <v>77</v>
      </c>
    </row>
    <row r="85" spans="27:30" ht="15">
      <c r="AA85"/>
      <c r="AB85"/>
      <c r="AC85"/>
      <c r="AD85" t="s">
        <v>77</v>
      </c>
    </row>
    <row r="86" spans="27:30" ht="15">
      <c r="AA86"/>
      <c r="AB86"/>
      <c r="AC86"/>
      <c r="AD86" t="s">
        <v>77</v>
      </c>
    </row>
    <row r="87" spans="27:30" ht="15">
      <c r="AA87"/>
      <c r="AB87"/>
      <c r="AC87"/>
      <c r="AD87" t="s">
        <v>77</v>
      </c>
    </row>
    <row r="88" spans="27:30" ht="15">
      <c r="AA88"/>
      <c r="AB88"/>
      <c r="AC88"/>
      <c r="AD88" t="s">
        <v>77</v>
      </c>
    </row>
    <row r="89" spans="27:30" ht="15">
      <c r="AA89"/>
      <c r="AB89"/>
      <c r="AC89"/>
      <c r="AD89" t="s">
        <v>77</v>
      </c>
    </row>
    <row r="90" spans="27:30" ht="15">
      <c r="AA90"/>
      <c r="AB90"/>
      <c r="AC90"/>
      <c r="AD90" t="s">
        <v>77</v>
      </c>
    </row>
    <row r="91" spans="27:30" ht="15">
      <c r="AA91"/>
      <c r="AB91"/>
      <c r="AC91"/>
      <c r="AD91" t="s">
        <v>77</v>
      </c>
    </row>
    <row r="92" spans="27:30" ht="15">
      <c r="AA92"/>
      <c r="AB92"/>
      <c r="AC92"/>
      <c r="AD92" t="s">
        <v>77</v>
      </c>
    </row>
    <row r="93" spans="27:30" ht="15">
      <c r="AA93"/>
      <c r="AB93"/>
      <c r="AC93"/>
      <c r="AD93" t="s">
        <v>77</v>
      </c>
    </row>
    <row r="94" spans="27:30" ht="15">
      <c r="AA94"/>
      <c r="AB94"/>
      <c r="AC94"/>
      <c r="AD94" t="s">
        <v>77</v>
      </c>
    </row>
    <row r="95" spans="27:30" ht="15">
      <c r="AA95"/>
      <c r="AB95"/>
      <c r="AC95"/>
      <c r="AD95" t="s">
        <v>77</v>
      </c>
    </row>
    <row r="96" spans="27:30" ht="15">
      <c r="AA96"/>
      <c r="AB96"/>
      <c r="AC96"/>
      <c r="AD96" t="s">
        <v>77</v>
      </c>
    </row>
    <row r="97" spans="27:30" ht="15">
      <c r="AA97"/>
      <c r="AB97"/>
      <c r="AC97"/>
      <c r="AD97" t="s">
        <v>77</v>
      </c>
    </row>
    <row r="98" spans="27:30" ht="15">
      <c r="AA98"/>
      <c r="AB98"/>
      <c r="AC98"/>
      <c r="AD98" t="s">
        <v>77</v>
      </c>
    </row>
    <row r="99" spans="27:30" ht="15">
      <c r="AA99"/>
      <c r="AB99"/>
      <c r="AC99"/>
      <c r="AD99" t="s">
        <v>77</v>
      </c>
    </row>
    <row r="100" spans="27:30" ht="15">
      <c r="AA100"/>
      <c r="AB100"/>
      <c r="AC100"/>
      <c r="AD100" t="s">
        <v>77</v>
      </c>
    </row>
    <row r="101" spans="27:30" ht="15">
      <c r="AA101"/>
      <c r="AB101"/>
      <c r="AC101"/>
      <c r="AD101" t="s">
        <v>77</v>
      </c>
    </row>
    <row r="102" spans="27:30" ht="15">
      <c r="AA102"/>
      <c r="AB102"/>
      <c r="AC102"/>
      <c r="AD102" t="s">
        <v>77</v>
      </c>
    </row>
    <row r="103" spans="27:30" ht="15">
      <c r="AA103"/>
      <c r="AB103"/>
      <c r="AC103"/>
      <c r="AD103" t="s">
        <v>77</v>
      </c>
    </row>
    <row r="104" spans="27:30" ht="15">
      <c r="AA104"/>
      <c r="AB104"/>
      <c r="AC104"/>
      <c r="AD104" t="s">
        <v>77</v>
      </c>
    </row>
    <row r="105" spans="27:30" ht="15">
      <c r="AA105"/>
      <c r="AB105"/>
      <c r="AC105"/>
      <c r="AD105" t="s">
        <v>77</v>
      </c>
    </row>
    <row r="106" spans="27:30" ht="15">
      <c r="AA106"/>
      <c r="AB106"/>
      <c r="AC106"/>
      <c r="AD106" t="s">
        <v>77</v>
      </c>
    </row>
    <row r="107" spans="27:30" ht="15">
      <c r="AA107"/>
      <c r="AB107"/>
      <c r="AC107"/>
      <c r="AD107" t="s">
        <v>77</v>
      </c>
    </row>
    <row r="108" spans="27:30" ht="15">
      <c r="AA108"/>
      <c r="AB108"/>
      <c r="AC108"/>
      <c r="AD108" t="s">
        <v>77</v>
      </c>
    </row>
    <row r="109" spans="27:30" ht="15">
      <c r="AA109"/>
      <c r="AB109"/>
      <c r="AC109"/>
      <c r="AD109" t="s">
        <v>77</v>
      </c>
    </row>
    <row r="110" spans="27:30" ht="15">
      <c r="AA110"/>
      <c r="AB110"/>
      <c r="AC110"/>
      <c r="AD110" t="s">
        <v>77</v>
      </c>
    </row>
    <row r="111" spans="27:30" ht="15">
      <c r="AA111"/>
      <c r="AB111"/>
      <c r="AC111"/>
      <c r="AD111" t="s">
        <v>77</v>
      </c>
    </row>
    <row r="112" spans="27:30" ht="15">
      <c r="AA112"/>
      <c r="AB112"/>
      <c r="AC112"/>
      <c r="AD112" t="s">
        <v>77</v>
      </c>
    </row>
    <row r="113" spans="27:30" ht="15">
      <c r="AA113"/>
      <c r="AB113"/>
      <c r="AC113"/>
      <c r="AD113" t="s">
        <v>77</v>
      </c>
    </row>
    <row r="114" spans="27:30" ht="15">
      <c r="AA114"/>
      <c r="AB114"/>
      <c r="AC114"/>
      <c r="AD114" t="s">
        <v>77</v>
      </c>
    </row>
    <row r="115" spans="27:30" ht="15">
      <c r="AA115"/>
      <c r="AB115"/>
      <c r="AC115"/>
      <c r="AD115" t="s">
        <v>77</v>
      </c>
    </row>
    <row r="116" spans="27:30" ht="15">
      <c r="AA116"/>
      <c r="AB116"/>
      <c r="AC116"/>
      <c r="AD116" t="s">
        <v>77</v>
      </c>
    </row>
    <row r="117" spans="27:30" ht="15">
      <c r="AA117"/>
      <c r="AB117"/>
      <c r="AC117"/>
      <c r="AD117" t="s">
        <v>77</v>
      </c>
    </row>
    <row r="118" spans="27:30" ht="15">
      <c r="AA118"/>
      <c r="AB118"/>
      <c r="AC118"/>
      <c r="AD118" t="s">
        <v>77</v>
      </c>
    </row>
    <row r="119" spans="27:30" ht="15">
      <c r="AA119"/>
      <c r="AB119"/>
      <c r="AC119"/>
      <c r="AD119" t="s">
        <v>77</v>
      </c>
    </row>
    <row r="120" spans="27:30" ht="15">
      <c r="AA120"/>
      <c r="AB120"/>
      <c r="AC120"/>
      <c r="AD120" t="s">
        <v>77</v>
      </c>
    </row>
    <row r="121" spans="27:30" ht="15">
      <c r="AA121"/>
      <c r="AB121"/>
      <c r="AC121"/>
      <c r="AD121" t="s">
        <v>77</v>
      </c>
    </row>
    <row r="122" spans="27:30" ht="15">
      <c r="AA122"/>
      <c r="AB122"/>
      <c r="AC122"/>
      <c r="AD122" t="s">
        <v>77</v>
      </c>
    </row>
    <row r="123" spans="27:30" ht="15">
      <c r="AA123"/>
      <c r="AB123"/>
      <c r="AC123"/>
      <c r="AD123" t="s">
        <v>77</v>
      </c>
    </row>
    <row r="124" spans="27:30" ht="15">
      <c r="AA124"/>
      <c r="AB124"/>
      <c r="AC124"/>
      <c r="AD124" t="s">
        <v>77</v>
      </c>
    </row>
    <row r="125" spans="27:30" ht="15">
      <c r="AA125"/>
      <c r="AB125"/>
      <c r="AC125"/>
      <c r="AD125" t="s">
        <v>77</v>
      </c>
    </row>
    <row r="126" spans="27:30" ht="15">
      <c r="AA126"/>
      <c r="AB126"/>
      <c r="AC126"/>
      <c r="AD126" t="s">
        <v>77</v>
      </c>
    </row>
    <row r="127" spans="27:30" ht="15">
      <c r="AA127"/>
      <c r="AB127"/>
      <c r="AC127"/>
      <c r="AD127" t="s">
        <v>77</v>
      </c>
    </row>
    <row r="128" spans="27:30" ht="15">
      <c r="AA128"/>
      <c r="AB128"/>
      <c r="AC128"/>
      <c r="AD128" t="s">
        <v>77</v>
      </c>
    </row>
    <row r="129" spans="27:30" ht="15">
      <c r="AA129"/>
      <c r="AB129"/>
      <c r="AC129"/>
      <c r="AD129" t="s">
        <v>77</v>
      </c>
    </row>
    <row r="130" spans="27:30" ht="15">
      <c r="AA130"/>
      <c r="AB130"/>
      <c r="AC130"/>
      <c r="AD130" t="s">
        <v>77</v>
      </c>
    </row>
    <row r="131" spans="27:30" ht="15">
      <c r="AA131"/>
      <c r="AB131"/>
      <c r="AC131"/>
      <c r="AD131" t="s">
        <v>77</v>
      </c>
    </row>
    <row r="132" spans="27:30" ht="15">
      <c r="AA132"/>
      <c r="AB132"/>
      <c r="AC132"/>
      <c r="AD132" t="s">
        <v>77</v>
      </c>
    </row>
    <row r="133" spans="27:30" ht="15">
      <c r="AA133"/>
      <c r="AB133"/>
      <c r="AC133"/>
      <c r="AD133" t="s">
        <v>77</v>
      </c>
    </row>
    <row r="134" spans="27:30" ht="15">
      <c r="AA134"/>
      <c r="AB134"/>
      <c r="AC134"/>
      <c r="AD134" t="s">
        <v>77</v>
      </c>
    </row>
    <row r="135" spans="27:30" ht="15">
      <c r="AA135"/>
      <c r="AB135"/>
      <c r="AC135"/>
      <c r="AD135" t="s">
        <v>77</v>
      </c>
    </row>
    <row r="136" spans="27:30" ht="15">
      <c r="AA136"/>
      <c r="AB136"/>
      <c r="AC136"/>
      <c r="AD136" t="s">
        <v>77</v>
      </c>
    </row>
    <row r="137" spans="27:30" ht="15">
      <c r="AA137"/>
      <c r="AB137"/>
      <c r="AC137"/>
      <c r="AD137" t="s">
        <v>77</v>
      </c>
    </row>
    <row r="138" spans="27:30" ht="15">
      <c r="AA138"/>
      <c r="AB138"/>
      <c r="AC138"/>
      <c r="AD138" t="s">
        <v>77</v>
      </c>
    </row>
    <row r="139" spans="27:30" ht="15">
      <c r="AA139"/>
      <c r="AB139"/>
      <c r="AC139"/>
      <c r="AD139" t="s">
        <v>77</v>
      </c>
    </row>
    <row r="140" spans="27:30" ht="15">
      <c r="AA140"/>
      <c r="AB140"/>
      <c r="AC140"/>
      <c r="AD140" t="s">
        <v>77</v>
      </c>
    </row>
    <row r="141" spans="27:30" ht="15">
      <c r="AA141"/>
      <c r="AB141"/>
      <c r="AC141"/>
      <c r="AD141" t="s">
        <v>77</v>
      </c>
    </row>
    <row r="142" spans="27:30" ht="15">
      <c r="AA142"/>
      <c r="AB142"/>
      <c r="AC142"/>
      <c r="AD142" t="s">
        <v>77</v>
      </c>
    </row>
    <row r="143" spans="27:30" ht="15">
      <c r="AA143"/>
      <c r="AB143"/>
      <c r="AC143"/>
      <c r="AD143" t="s">
        <v>77</v>
      </c>
    </row>
    <row r="144" spans="27:30" ht="15">
      <c r="AA144"/>
      <c r="AB144"/>
      <c r="AC144"/>
      <c r="AD144" t="s">
        <v>77</v>
      </c>
    </row>
    <row r="145" spans="4:30" ht="15">
      <c r="AA145"/>
      <c r="AB145"/>
      <c r="AC145"/>
      <c r="AD145" t="s">
        <v>77</v>
      </c>
    </row>
    <row r="146" spans="4:30" ht="25.5">
      <c r="D146" s="23" t="s">
        <v>201</v>
      </c>
      <c r="AA146"/>
      <c r="AB146"/>
      <c r="AC146"/>
      <c r="AD146" t="s">
        <v>77</v>
      </c>
    </row>
    <row r="147" spans="4:30" ht="15">
      <c r="AA147"/>
      <c r="AB147"/>
      <c r="AC147"/>
      <c r="AD147" t="s">
        <v>77</v>
      </c>
    </row>
    <row r="148" spans="4:30" ht="15">
      <c r="AA148"/>
      <c r="AB148"/>
      <c r="AC148"/>
      <c r="AD148" t="s">
        <v>77</v>
      </c>
    </row>
    <row r="149" spans="4:30" ht="15">
      <c r="AA149"/>
      <c r="AB149"/>
      <c r="AC149"/>
      <c r="AD149" t="s">
        <v>77</v>
      </c>
    </row>
    <row r="150" spans="4:30" ht="15">
      <c r="AA150"/>
      <c r="AB150"/>
      <c r="AC150"/>
      <c r="AD150" t="s">
        <v>77</v>
      </c>
    </row>
    <row r="151" spans="4:30" ht="15">
      <c r="AA151"/>
      <c r="AB151"/>
      <c r="AC151"/>
      <c r="AD151" t="s">
        <v>77</v>
      </c>
    </row>
    <row r="152" spans="4:30" ht="15">
      <c r="AA152"/>
      <c r="AB152"/>
      <c r="AC152"/>
      <c r="AD152" t="s">
        <v>77</v>
      </c>
    </row>
    <row r="153" spans="4:30" ht="15">
      <c r="AA153"/>
      <c r="AB153"/>
      <c r="AC153"/>
      <c r="AD153" t="s">
        <v>77</v>
      </c>
    </row>
    <row r="154" spans="4:30" ht="15">
      <c r="AA154"/>
      <c r="AB154"/>
      <c r="AC154"/>
      <c r="AD154" t="s">
        <v>77</v>
      </c>
    </row>
    <row r="155" spans="4:30" ht="15">
      <c r="AA155"/>
      <c r="AB155"/>
      <c r="AC155"/>
      <c r="AD155" t="s">
        <v>77</v>
      </c>
    </row>
    <row r="156" spans="4:30" ht="15">
      <c r="AA156"/>
      <c r="AB156"/>
      <c r="AC156"/>
      <c r="AD156" t="s">
        <v>77</v>
      </c>
    </row>
    <row r="157" spans="4:30" ht="15">
      <c r="AA157"/>
      <c r="AB157"/>
      <c r="AC157"/>
      <c r="AD157" t="s">
        <v>77</v>
      </c>
    </row>
    <row r="158" spans="4:30" ht="15">
      <c r="AA158"/>
      <c r="AB158"/>
      <c r="AC158"/>
      <c r="AD158" t="s">
        <v>77</v>
      </c>
    </row>
    <row r="159" spans="4:30" ht="15">
      <c r="AA159"/>
      <c r="AB159"/>
      <c r="AC159"/>
      <c r="AD159" t="s">
        <v>77</v>
      </c>
    </row>
    <row r="160" spans="4:30" ht="15">
      <c r="AA160"/>
      <c r="AB160"/>
      <c r="AC160"/>
      <c r="AD160" t="s">
        <v>77</v>
      </c>
    </row>
    <row r="161" spans="27:30" ht="15">
      <c r="AA161"/>
      <c r="AB161"/>
      <c r="AC161"/>
      <c r="AD161" t="s">
        <v>77</v>
      </c>
    </row>
    <row r="162" spans="27:30" ht="15">
      <c r="AA162"/>
      <c r="AB162"/>
      <c r="AC162"/>
      <c r="AD162" t="s">
        <v>77</v>
      </c>
    </row>
    <row r="163" spans="27:30" ht="15">
      <c r="AA163"/>
      <c r="AB163"/>
      <c r="AC163"/>
      <c r="AD163" t="s">
        <v>77</v>
      </c>
    </row>
    <row r="164" spans="27:30" ht="15">
      <c r="AA164"/>
      <c r="AB164"/>
      <c r="AC164"/>
      <c r="AD164" t="s">
        <v>77</v>
      </c>
    </row>
    <row r="165" spans="27:30" ht="15">
      <c r="AA165"/>
      <c r="AB165"/>
      <c r="AC165"/>
      <c r="AD165" t="s">
        <v>77</v>
      </c>
    </row>
    <row r="166" spans="27:30" ht="15">
      <c r="AA166"/>
      <c r="AB166"/>
      <c r="AC166"/>
      <c r="AD166" t="s">
        <v>77</v>
      </c>
    </row>
    <row r="167" spans="27:30" ht="15">
      <c r="AA167"/>
      <c r="AB167"/>
      <c r="AC167"/>
      <c r="AD167" t="s">
        <v>77</v>
      </c>
    </row>
    <row r="168" spans="27:30" ht="15">
      <c r="AA168"/>
      <c r="AB168"/>
      <c r="AC168"/>
      <c r="AD168" t="s">
        <v>77</v>
      </c>
    </row>
    <row r="169" spans="27:30" ht="15">
      <c r="AA169"/>
      <c r="AB169"/>
      <c r="AC169"/>
      <c r="AD169" t="s">
        <v>77</v>
      </c>
    </row>
    <row r="170" spans="27:30" ht="15">
      <c r="AA170"/>
      <c r="AB170"/>
      <c r="AC170"/>
      <c r="AD170" t="s">
        <v>77</v>
      </c>
    </row>
    <row r="171" spans="27:30" ht="15">
      <c r="AA171"/>
      <c r="AB171"/>
      <c r="AC171"/>
      <c r="AD171" t="s">
        <v>77</v>
      </c>
    </row>
    <row r="172" spans="27:30" ht="15">
      <c r="AA172"/>
      <c r="AB172"/>
      <c r="AC172"/>
      <c r="AD172" t="s">
        <v>77</v>
      </c>
    </row>
    <row r="173" spans="27:30" ht="15">
      <c r="AA173"/>
      <c r="AB173"/>
      <c r="AC173"/>
      <c r="AD173" t="s">
        <v>77</v>
      </c>
    </row>
    <row r="174" spans="27:30" ht="15">
      <c r="AA174"/>
      <c r="AB174"/>
      <c r="AC174"/>
      <c r="AD174" t="s">
        <v>77</v>
      </c>
    </row>
    <row r="175" spans="27:30" ht="15">
      <c r="AA175"/>
      <c r="AB175"/>
      <c r="AC175"/>
      <c r="AD175" t="s">
        <v>77</v>
      </c>
    </row>
    <row r="176" spans="27:30" ht="15">
      <c r="AA176"/>
      <c r="AB176"/>
      <c r="AC176"/>
      <c r="AD176" t="s">
        <v>77</v>
      </c>
    </row>
    <row r="177" spans="27:30" ht="15">
      <c r="AA177"/>
      <c r="AB177"/>
      <c r="AC177"/>
      <c r="AD177" t="s">
        <v>77</v>
      </c>
    </row>
    <row r="178" spans="27:30" ht="15">
      <c r="AA178"/>
      <c r="AB178"/>
      <c r="AC178"/>
      <c r="AD178" t="s">
        <v>77</v>
      </c>
    </row>
    <row r="179" spans="27:30" ht="15">
      <c r="AA179"/>
      <c r="AB179"/>
      <c r="AC179"/>
      <c r="AD179" t="s">
        <v>77</v>
      </c>
    </row>
    <row r="180" spans="27:30" ht="15">
      <c r="AA180"/>
      <c r="AB180"/>
      <c r="AC180"/>
      <c r="AD180" t="s">
        <v>77</v>
      </c>
    </row>
    <row r="181" spans="27:30" ht="15">
      <c r="AA181"/>
      <c r="AB181"/>
      <c r="AC181"/>
      <c r="AD181" t="s">
        <v>77</v>
      </c>
    </row>
    <row r="182" spans="27:30" ht="15">
      <c r="AA182"/>
      <c r="AB182"/>
      <c r="AC182"/>
      <c r="AD182" t="s">
        <v>77</v>
      </c>
    </row>
    <row r="183" spans="27:30" ht="15">
      <c r="AA183"/>
      <c r="AB183"/>
      <c r="AC183"/>
      <c r="AD183" t="s">
        <v>77</v>
      </c>
    </row>
    <row r="184" spans="27:30" ht="15">
      <c r="AA184"/>
      <c r="AB184"/>
      <c r="AC184"/>
      <c r="AD184" t="s">
        <v>77</v>
      </c>
    </row>
    <row r="185" spans="27:30" ht="15">
      <c r="AA185"/>
      <c r="AB185"/>
      <c r="AC185"/>
      <c r="AD185" t="s">
        <v>77</v>
      </c>
    </row>
    <row r="186" spans="27:30" ht="15">
      <c r="AA186"/>
      <c r="AB186"/>
      <c r="AC186"/>
      <c r="AD186" t="s">
        <v>77</v>
      </c>
    </row>
    <row r="187" spans="27:30" ht="15">
      <c r="AA187"/>
      <c r="AB187"/>
      <c r="AC187"/>
      <c r="AD187" t="s">
        <v>77</v>
      </c>
    </row>
    <row r="188" spans="27:30" ht="15">
      <c r="AA188"/>
      <c r="AB188"/>
      <c r="AC188"/>
      <c r="AD188" t="s">
        <v>77</v>
      </c>
    </row>
    <row r="189" spans="27:30" ht="15">
      <c r="AA189"/>
      <c r="AB189"/>
      <c r="AC189"/>
      <c r="AD189" t="s">
        <v>77</v>
      </c>
    </row>
    <row r="190" spans="27:30" ht="15">
      <c r="AA190"/>
      <c r="AB190"/>
      <c r="AC190"/>
      <c r="AD190" t="s">
        <v>77</v>
      </c>
    </row>
    <row r="191" spans="27:30" ht="15">
      <c r="AA191"/>
      <c r="AB191"/>
      <c r="AC191"/>
      <c r="AD191" t="s">
        <v>77</v>
      </c>
    </row>
    <row r="192" spans="27:30" ht="15">
      <c r="AA192"/>
      <c r="AB192"/>
      <c r="AC192"/>
      <c r="AD192" t="s">
        <v>77</v>
      </c>
    </row>
    <row r="193" spans="27:30" ht="15">
      <c r="AA193"/>
      <c r="AB193"/>
      <c r="AC193"/>
      <c r="AD193"/>
    </row>
    <row r="194" spans="27:30" ht="15">
      <c r="AA194"/>
      <c r="AB194"/>
      <c r="AC194"/>
      <c r="AD194"/>
    </row>
    <row r="195" spans="27:30" ht="15">
      <c r="AA195"/>
      <c r="AB195"/>
      <c r="AC195"/>
      <c r="AD195"/>
    </row>
    <row r="196" spans="27:30" ht="15">
      <c r="AA196"/>
      <c r="AB196"/>
      <c r="AC196"/>
      <c r="AD196"/>
    </row>
    <row r="197" spans="27:30" ht="15">
      <c r="AA197"/>
      <c r="AB197"/>
      <c r="AC197"/>
      <c r="AD197"/>
    </row>
    <row r="198" spans="27:30" ht="15">
      <c r="AA198"/>
      <c r="AB198"/>
      <c r="AC198"/>
      <c r="AD198"/>
    </row>
    <row r="199" spans="27:30" ht="15">
      <c r="AA199"/>
      <c r="AB199"/>
      <c r="AC199"/>
      <c r="AD199"/>
    </row>
    <row r="200" spans="27:30" ht="15">
      <c r="AA200"/>
      <c r="AB200"/>
      <c r="AC200"/>
      <c r="AD200"/>
    </row>
    <row r="201" spans="27:30" ht="15">
      <c r="AA201"/>
      <c r="AB201"/>
      <c r="AC201"/>
      <c r="AD201"/>
    </row>
    <row r="202" spans="27:30" ht="15">
      <c r="AA202"/>
      <c r="AB202"/>
      <c r="AC202"/>
      <c r="AD202"/>
    </row>
    <row r="203" spans="27:30" ht="15">
      <c r="AA203"/>
      <c r="AB203"/>
      <c r="AC203"/>
      <c r="AD203"/>
    </row>
    <row r="204" spans="27:30" ht="15">
      <c r="AA204"/>
      <c r="AB204"/>
      <c r="AC204"/>
      <c r="AD204"/>
    </row>
    <row r="205" spans="27:30" ht="15">
      <c r="AA205"/>
      <c r="AB205"/>
      <c r="AC205"/>
      <c r="AD205"/>
    </row>
    <row r="206" spans="27:30" ht="15">
      <c r="AA206"/>
      <c r="AB206"/>
      <c r="AC206"/>
      <c r="AD206"/>
    </row>
    <row r="207" spans="27:30" ht="15">
      <c r="AA207"/>
      <c r="AB207"/>
      <c r="AC207"/>
      <c r="AD207"/>
    </row>
    <row r="208" spans="27:30" ht="15">
      <c r="AA208"/>
      <c r="AB208"/>
      <c r="AC208"/>
      <c r="AD208"/>
    </row>
    <row r="209" spans="27:30" ht="15">
      <c r="AA209"/>
      <c r="AB209"/>
      <c r="AC209"/>
      <c r="AD209"/>
    </row>
    <row r="210" spans="27:30" ht="15">
      <c r="AA210"/>
      <c r="AB210"/>
      <c r="AC210"/>
      <c r="AD210"/>
    </row>
    <row r="211" spans="27:30" ht="15">
      <c r="AA211"/>
      <c r="AB211"/>
      <c r="AC211"/>
      <c r="AD211"/>
    </row>
    <row r="212" spans="27:30" ht="15">
      <c r="AA212"/>
      <c r="AB212"/>
      <c r="AC212"/>
      <c r="AD212"/>
    </row>
    <row r="213" spans="27:30" ht="15">
      <c r="AA213"/>
      <c r="AB213"/>
      <c r="AC213"/>
      <c r="AD213"/>
    </row>
    <row r="214" spans="27:30" ht="15">
      <c r="AA214"/>
      <c r="AB214"/>
      <c r="AC214"/>
      <c r="AD214"/>
    </row>
    <row r="215" spans="27:30" ht="15">
      <c r="AA215"/>
      <c r="AB215"/>
      <c r="AC215"/>
      <c r="AD215"/>
    </row>
    <row r="216" spans="27:30" ht="15">
      <c r="AA216"/>
      <c r="AB216"/>
      <c r="AC216"/>
      <c r="AD216"/>
    </row>
    <row r="217" spans="27:30" ht="15">
      <c r="AA217"/>
      <c r="AB217"/>
      <c r="AC217"/>
      <c r="AD217"/>
    </row>
    <row r="218" spans="27:30" ht="15">
      <c r="AA218"/>
      <c r="AB218"/>
      <c r="AC218"/>
      <c r="AD218"/>
    </row>
    <row r="219" spans="27:30" ht="15">
      <c r="AA219"/>
      <c r="AB219"/>
      <c r="AC219"/>
      <c r="AD219"/>
    </row>
    <row r="220" spans="27:30" ht="15">
      <c r="AA220"/>
      <c r="AB220"/>
      <c r="AC220"/>
      <c r="AD220"/>
    </row>
    <row r="221" spans="27:30" ht="15">
      <c r="AA221"/>
      <c r="AB221"/>
      <c r="AC221"/>
      <c r="AD221"/>
    </row>
    <row r="222" spans="27:30" ht="15">
      <c r="AA222"/>
      <c r="AB222"/>
      <c r="AC222"/>
      <c r="AD222"/>
    </row>
    <row r="223" spans="27:30" ht="15">
      <c r="AA223"/>
      <c r="AB223"/>
      <c r="AC223"/>
      <c r="AD223"/>
    </row>
    <row r="224" spans="27:30" ht="15">
      <c r="AA224"/>
      <c r="AB224"/>
      <c r="AC224"/>
      <c r="AD224"/>
    </row>
    <row r="225" spans="27:30" ht="15">
      <c r="AA225"/>
      <c r="AB225"/>
      <c r="AC225"/>
      <c r="AD225"/>
    </row>
    <row r="226" spans="27:30" ht="15">
      <c r="AA226"/>
      <c r="AB226"/>
      <c r="AC226"/>
      <c r="AD226"/>
    </row>
    <row r="227" spans="27:30" ht="15">
      <c r="AA227"/>
      <c r="AB227"/>
      <c r="AC227"/>
      <c r="AD227"/>
    </row>
    <row r="228" spans="27:30" ht="15">
      <c r="AA228"/>
      <c r="AB228"/>
      <c r="AC228"/>
      <c r="AD228"/>
    </row>
    <row r="229" spans="27:30" ht="15">
      <c r="AA229"/>
      <c r="AB229"/>
      <c r="AC229"/>
      <c r="AD229"/>
    </row>
    <row r="230" spans="27:30" ht="15">
      <c r="AA230"/>
      <c r="AB230"/>
      <c r="AC230"/>
      <c r="AD230"/>
    </row>
    <row r="231" spans="27:30" ht="15">
      <c r="AA231"/>
      <c r="AB231"/>
      <c r="AC231"/>
      <c r="AD231"/>
    </row>
    <row r="232" spans="27:30" ht="15">
      <c r="AA232"/>
      <c r="AB232"/>
      <c r="AC232"/>
      <c r="AD232"/>
    </row>
    <row r="233" spans="27:30" ht="15">
      <c r="AA233"/>
      <c r="AB233"/>
      <c r="AC233"/>
      <c r="AD233"/>
    </row>
    <row r="234" spans="27:30" ht="15">
      <c r="AA234"/>
      <c r="AB234"/>
      <c r="AC234"/>
      <c r="AD234"/>
    </row>
    <row r="235" spans="27:30" ht="15">
      <c r="AA235"/>
      <c r="AB235"/>
      <c r="AC235"/>
      <c r="AD235"/>
    </row>
    <row r="236" spans="27:30" ht="15">
      <c r="AA236"/>
      <c r="AB236"/>
      <c r="AC236"/>
      <c r="AD236"/>
    </row>
    <row r="237" spans="27:30" ht="15">
      <c r="AA237"/>
      <c r="AB237"/>
      <c r="AC237"/>
      <c r="AD237"/>
    </row>
    <row r="238" spans="27:30" ht="15">
      <c r="AA238"/>
      <c r="AB238"/>
      <c r="AC238"/>
      <c r="AD238"/>
    </row>
    <row r="239" spans="27:30" ht="15">
      <c r="AA239"/>
      <c r="AB239"/>
      <c r="AC239"/>
      <c r="AD239"/>
    </row>
    <row r="240" spans="27:30" ht="15">
      <c r="AA240"/>
      <c r="AB240"/>
      <c r="AC240"/>
      <c r="AD240"/>
    </row>
    <row r="241" spans="27:30" ht="15">
      <c r="AA241"/>
      <c r="AB241"/>
      <c r="AC241"/>
      <c r="AD241"/>
    </row>
    <row r="242" spans="27:30" ht="15">
      <c r="AA242"/>
      <c r="AB242"/>
      <c r="AC242"/>
      <c r="AD242"/>
    </row>
    <row r="243" spans="27:30" ht="15">
      <c r="AA243"/>
      <c r="AB243"/>
      <c r="AC243"/>
      <c r="AD243"/>
    </row>
    <row r="244" spans="27:30" ht="15">
      <c r="AA244"/>
      <c r="AB244"/>
      <c r="AC244"/>
      <c r="AD244"/>
    </row>
    <row r="245" spans="27:30" ht="15">
      <c r="AA245"/>
      <c r="AB245"/>
      <c r="AC245"/>
      <c r="AD245"/>
    </row>
    <row r="246" spans="27:30" ht="15">
      <c r="AA246"/>
      <c r="AB246"/>
      <c r="AC246"/>
      <c r="AD246"/>
    </row>
    <row r="247" spans="27:30" ht="15">
      <c r="AA247"/>
      <c r="AB247"/>
      <c r="AC247"/>
      <c r="AD247"/>
    </row>
    <row r="248" spans="27:30" ht="15">
      <c r="AA248"/>
      <c r="AB248"/>
      <c r="AC248"/>
      <c r="AD248"/>
    </row>
    <row r="249" spans="27:30" ht="15">
      <c r="AA249"/>
      <c r="AB249"/>
      <c r="AC249"/>
      <c r="AD249"/>
    </row>
    <row r="250" spans="27:30" ht="15">
      <c r="AA250"/>
      <c r="AB250"/>
      <c r="AC250"/>
      <c r="AD250"/>
    </row>
    <row r="251" spans="27:30" ht="15">
      <c r="AA251"/>
      <c r="AB251"/>
      <c r="AC251"/>
      <c r="AD251"/>
    </row>
    <row r="252" spans="27:30" ht="15">
      <c r="AA252"/>
      <c r="AB252"/>
      <c r="AC252"/>
      <c r="AD252"/>
    </row>
    <row r="253" spans="27:30" ht="15">
      <c r="AA253"/>
      <c r="AB253"/>
      <c r="AC253"/>
      <c r="AD253"/>
    </row>
    <row r="254" spans="27:30" ht="15">
      <c r="AA254"/>
      <c r="AB254"/>
      <c r="AC254"/>
      <c r="AD254"/>
    </row>
    <row r="255" spans="27:30" ht="15">
      <c r="AA255"/>
      <c r="AB255"/>
      <c r="AC255"/>
      <c r="AD255"/>
    </row>
    <row r="256" spans="27:30" ht="15">
      <c r="AA256"/>
      <c r="AB256"/>
      <c r="AC256"/>
      <c r="AD256"/>
    </row>
    <row r="257" spans="27:30" ht="15">
      <c r="AA257"/>
      <c r="AB257"/>
      <c r="AC257"/>
      <c r="AD257"/>
    </row>
    <row r="258" spans="27:30" ht="15">
      <c r="AA258"/>
      <c r="AB258"/>
      <c r="AC258"/>
      <c r="AD258"/>
    </row>
    <row r="259" spans="27:30" ht="15">
      <c r="AA259"/>
      <c r="AB259"/>
      <c r="AC259"/>
      <c r="AD259"/>
    </row>
    <row r="260" spans="27:30" ht="15">
      <c r="AA260"/>
      <c r="AB260"/>
      <c r="AC260"/>
      <c r="AD260"/>
    </row>
    <row r="261" spans="27:30" ht="15">
      <c r="AA261"/>
      <c r="AB261"/>
      <c r="AC261"/>
      <c r="AD261"/>
    </row>
    <row r="262" spans="27:30" ht="15">
      <c r="AA262"/>
      <c r="AB262"/>
      <c r="AC262"/>
      <c r="AD262"/>
    </row>
    <row r="263" spans="27:30" ht="15">
      <c r="AA263"/>
      <c r="AB263"/>
      <c r="AC263"/>
      <c r="AD263"/>
    </row>
    <row r="264" spans="27:30" ht="15">
      <c r="AA264"/>
      <c r="AB264"/>
      <c r="AC264"/>
      <c r="AD264"/>
    </row>
    <row r="265" spans="27:30" ht="15">
      <c r="AA265"/>
      <c r="AB265"/>
      <c r="AC265"/>
      <c r="AD265"/>
    </row>
    <row r="266" spans="27:30" ht="15">
      <c r="AA266"/>
      <c r="AB266"/>
      <c r="AC266"/>
      <c r="AD266"/>
    </row>
    <row r="267" spans="27:30" ht="15">
      <c r="AA267"/>
      <c r="AB267"/>
      <c r="AC267"/>
      <c r="AD267"/>
    </row>
    <row r="268" spans="27:30" ht="15">
      <c r="AA268"/>
      <c r="AB268"/>
      <c r="AC268"/>
      <c r="AD268"/>
    </row>
    <row r="269" spans="27:30" ht="15">
      <c r="AA269"/>
      <c r="AB269"/>
      <c r="AC269"/>
      <c r="AD269"/>
    </row>
    <row r="270" spans="27:30" ht="15">
      <c r="AA270"/>
      <c r="AB270"/>
      <c r="AC270"/>
      <c r="AD270"/>
    </row>
    <row r="271" spans="27:30" ht="15">
      <c r="AA271"/>
      <c r="AB271"/>
      <c r="AC271"/>
      <c r="AD271"/>
    </row>
    <row r="272" spans="27:30" ht="15">
      <c r="AA272"/>
      <c r="AB272"/>
      <c r="AC272"/>
      <c r="AD272"/>
    </row>
    <row r="273" spans="27:30" ht="15">
      <c r="AA273"/>
      <c r="AB273"/>
      <c r="AC273"/>
      <c r="AD273"/>
    </row>
    <row r="274" spans="27:30" ht="15">
      <c r="AA274"/>
      <c r="AB274"/>
      <c r="AC274"/>
      <c r="AD274"/>
    </row>
    <row r="275" spans="27:30" ht="15">
      <c r="AA275"/>
      <c r="AB275"/>
      <c r="AC275"/>
      <c r="AD275"/>
    </row>
    <row r="276" spans="27:30" ht="15">
      <c r="AA276"/>
      <c r="AB276"/>
      <c r="AC276"/>
      <c r="AD276"/>
    </row>
    <row r="277" spans="27:30" ht="15">
      <c r="AA277"/>
      <c r="AB277"/>
      <c r="AC277"/>
      <c r="AD277"/>
    </row>
    <row r="278" spans="27:30" ht="15">
      <c r="AA278"/>
      <c r="AB278"/>
      <c r="AC278"/>
      <c r="AD278"/>
    </row>
    <row r="279" spans="27:30" ht="15">
      <c r="AA279"/>
      <c r="AB279"/>
      <c r="AC279"/>
      <c r="AD279"/>
    </row>
    <row r="280" spans="27:30" ht="15">
      <c r="AA280"/>
      <c r="AB280"/>
      <c r="AC280"/>
      <c r="AD280"/>
    </row>
    <row r="281" spans="27:30" ht="15">
      <c r="AA281"/>
      <c r="AB281"/>
      <c r="AC281"/>
      <c r="AD281"/>
    </row>
    <row r="282" spans="27:30" ht="15">
      <c r="AA282"/>
      <c r="AB282"/>
      <c r="AC282"/>
      <c r="AD282"/>
    </row>
    <row r="283" spans="27:30" ht="15">
      <c r="AA283"/>
      <c r="AB283"/>
      <c r="AC283"/>
      <c r="AD283"/>
    </row>
    <row r="284" spans="27:30" ht="15">
      <c r="AA284"/>
      <c r="AB284"/>
      <c r="AC284"/>
      <c r="AD284"/>
    </row>
    <row r="285" spans="27:30" ht="15">
      <c r="AA285"/>
      <c r="AB285"/>
      <c r="AC285"/>
      <c r="AD285"/>
    </row>
    <row r="286" spans="27:30" ht="15">
      <c r="AA286"/>
      <c r="AB286"/>
      <c r="AC286"/>
      <c r="AD286"/>
    </row>
    <row r="287" spans="27:30" ht="15">
      <c r="AA287"/>
      <c r="AB287"/>
      <c r="AC287"/>
      <c r="AD287"/>
    </row>
    <row r="288" spans="27:30" ht="15">
      <c r="AA288"/>
      <c r="AB288"/>
      <c r="AC288"/>
      <c r="AD288"/>
    </row>
    <row r="289" spans="27:30" ht="15">
      <c r="AA289"/>
      <c r="AB289"/>
      <c r="AC289"/>
      <c r="AD289"/>
    </row>
    <row r="290" spans="27:30" ht="15">
      <c r="AA290"/>
      <c r="AB290"/>
      <c r="AC290"/>
      <c r="AD290"/>
    </row>
    <row r="291" spans="27:30" ht="15">
      <c r="AA291"/>
      <c r="AB291"/>
      <c r="AC291"/>
      <c r="AD291"/>
    </row>
    <row r="292" spans="27:30" ht="15">
      <c r="AA292"/>
      <c r="AB292"/>
      <c r="AC292"/>
      <c r="AD292"/>
    </row>
    <row r="293" spans="27:30" ht="15">
      <c r="AA293"/>
      <c r="AB293"/>
      <c r="AC293"/>
      <c r="AD293"/>
    </row>
    <row r="294" spans="27:30" ht="15">
      <c r="AA294"/>
      <c r="AB294"/>
      <c r="AC294"/>
      <c r="AD294"/>
    </row>
    <row r="295" spans="27:30" ht="15">
      <c r="AA295"/>
      <c r="AB295"/>
      <c r="AC295"/>
      <c r="AD295"/>
    </row>
    <row r="296" spans="27:30" ht="15">
      <c r="AA296"/>
      <c r="AB296"/>
      <c r="AC296"/>
      <c r="AD296"/>
    </row>
    <row r="297" spans="27:30" ht="15">
      <c r="AA297"/>
      <c r="AB297"/>
      <c r="AC297"/>
      <c r="AD297"/>
    </row>
    <row r="298" spans="27:30" ht="15">
      <c r="AA298"/>
      <c r="AB298"/>
      <c r="AC298"/>
      <c r="AD298"/>
    </row>
    <row r="299" spans="27:30" ht="15">
      <c r="AA299"/>
      <c r="AB299"/>
      <c r="AC299"/>
      <c r="AD299"/>
    </row>
    <row r="300" spans="27:30" ht="15">
      <c r="AA300"/>
      <c r="AB300"/>
      <c r="AC300"/>
      <c r="AD300"/>
    </row>
    <row r="301" spans="27:30" ht="15">
      <c r="AA301"/>
      <c r="AB301"/>
      <c r="AC301"/>
      <c r="AD301"/>
    </row>
    <row r="302" spans="27:30" ht="15">
      <c r="AA302"/>
      <c r="AB302"/>
      <c r="AC302"/>
      <c r="AD302"/>
    </row>
    <row r="303" spans="27:30" ht="15">
      <c r="AA303"/>
      <c r="AB303"/>
      <c r="AC303"/>
      <c r="AD303"/>
    </row>
    <row r="304" spans="27:30" ht="15">
      <c r="AA304"/>
      <c r="AB304"/>
      <c r="AC304"/>
      <c r="AD304"/>
    </row>
    <row r="305" spans="27:30" ht="15">
      <c r="AA305"/>
      <c r="AB305"/>
      <c r="AC305"/>
      <c r="AD305"/>
    </row>
    <row r="306" spans="27:30" ht="15">
      <c r="AA306"/>
      <c r="AB306"/>
      <c r="AC306"/>
      <c r="AD306"/>
    </row>
    <row r="307" spans="27:30" ht="15">
      <c r="AA307"/>
      <c r="AB307"/>
      <c r="AC307"/>
      <c r="AD307"/>
    </row>
    <row r="308" spans="27:30" ht="15">
      <c r="AA308"/>
      <c r="AB308"/>
      <c r="AC308"/>
      <c r="AD308"/>
    </row>
    <row r="309" spans="27:30" ht="15">
      <c r="AA309"/>
      <c r="AB309"/>
      <c r="AC309"/>
      <c r="AD309"/>
    </row>
    <row r="310" spans="27:30" ht="15">
      <c r="AA310"/>
      <c r="AB310"/>
      <c r="AC310"/>
      <c r="AD310"/>
    </row>
    <row r="311" spans="27:30" ht="15">
      <c r="AA311"/>
      <c r="AB311"/>
      <c r="AC311"/>
      <c r="AD311"/>
    </row>
    <row r="312" spans="27:30" ht="15">
      <c r="AA312"/>
      <c r="AB312"/>
      <c r="AC312"/>
      <c r="AD312"/>
    </row>
    <row r="313" spans="27:30" ht="15">
      <c r="AA313"/>
      <c r="AB313"/>
      <c r="AC313"/>
      <c r="AD313"/>
    </row>
    <row r="314" spans="27:30" ht="15">
      <c r="AA314"/>
      <c r="AB314"/>
      <c r="AC314"/>
      <c r="AD314"/>
    </row>
    <row r="315" spans="27:30" ht="15">
      <c r="AA315"/>
      <c r="AB315"/>
      <c r="AC315"/>
      <c r="AD315"/>
    </row>
    <row r="316" spans="27:30" ht="15">
      <c r="AA316"/>
      <c r="AB316"/>
      <c r="AC316"/>
      <c r="AD316"/>
    </row>
    <row r="317" spans="27:30" ht="15">
      <c r="AA317"/>
      <c r="AB317"/>
      <c r="AC317"/>
      <c r="AD317"/>
    </row>
    <row r="318" spans="27:30" ht="15">
      <c r="AA318"/>
      <c r="AB318"/>
      <c r="AC318"/>
      <c r="AD318"/>
    </row>
    <row r="319" spans="27:30" ht="15">
      <c r="AA319"/>
      <c r="AB319"/>
      <c r="AC319"/>
      <c r="AD319"/>
    </row>
    <row r="320" spans="27:30" ht="15">
      <c r="AA320"/>
      <c r="AB320"/>
      <c r="AC320"/>
      <c r="AD320"/>
    </row>
    <row r="321" spans="27:30" ht="15">
      <c r="AA321"/>
      <c r="AB321"/>
      <c r="AC321"/>
      <c r="AD321"/>
    </row>
    <row r="322" spans="27:30" ht="15">
      <c r="AA322"/>
      <c r="AB322"/>
      <c r="AC322"/>
      <c r="AD322"/>
    </row>
    <row r="323" spans="27:30" ht="15">
      <c r="AA323"/>
      <c r="AB323"/>
      <c r="AC323"/>
      <c r="AD323"/>
    </row>
    <row r="324" spans="27:30" ht="15">
      <c r="AA324"/>
      <c r="AB324"/>
      <c r="AC324"/>
      <c r="AD324"/>
    </row>
    <row r="325" spans="27:30" ht="15">
      <c r="AA325"/>
      <c r="AB325"/>
      <c r="AC325"/>
      <c r="AD325"/>
    </row>
    <row r="326" spans="27:30" ht="15">
      <c r="AA326"/>
      <c r="AB326"/>
      <c r="AC326"/>
      <c r="AD326"/>
    </row>
    <row r="327" spans="27:30" ht="15">
      <c r="AA327"/>
      <c r="AB327"/>
      <c r="AC327"/>
      <c r="AD327"/>
    </row>
    <row r="328" spans="27:30" ht="15">
      <c r="AA328"/>
      <c r="AB328"/>
      <c r="AC328"/>
      <c r="AD328"/>
    </row>
    <row r="329" spans="27:30" ht="15">
      <c r="AA329"/>
      <c r="AB329"/>
      <c r="AC329"/>
      <c r="AD329"/>
    </row>
    <row r="330" spans="27:30" ht="15">
      <c r="AA330"/>
      <c r="AB330"/>
      <c r="AC330"/>
      <c r="AD330"/>
    </row>
    <row r="331" spans="27:30" ht="15">
      <c r="AA331"/>
      <c r="AB331"/>
      <c r="AC331"/>
      <c r="AD331"/>
    </row>
    <row r="332" spans="27:30" ht="15">
      <c r="AA332"/>
      <c r="AB332"/>
      <c r="AC332"/>
      <c r="AD332"/>
    </row>
    <row r="333" spans="27:30" ht="15">
      <c r="AA333"/>
      <c r="AB333"/>
      <c r="AC333"/>
      <c r="AD333"/>
    </row>
    <row r="334" spans="27:30" ht="15">
      <c r="AA334"/>
      <c r="AB334"/>
      <c r="AC334"/>
      <c r="AD334"/>
    </row>
    <row r="335" spans="27:30" ht="15">
      <c r="AA335"/>
      <c r="AB335"/>
      <c r="AC335"/>
      <c r="AD335"/>
    </row>
    <row r="336" spans="27:30" ht="15">
      <c r="AA336"/>
      <c r="AB336"/>
      <c r="AC336"/>
      <c r="AD336"/>
    </row>
    <row r="337" spans="27:30" ht="15">
      <c r="AA337"/>
      <c r="AB337"/>
      <c r="AC337"/>
      <c r="AD337"/>
    </row>
    <row r="338" spans="27:30" ht="15">
      <c r="AA338"/>
      <c r="AB338"/>
      <c r="AC338"/>
      <c r="AD338"/>
    </row>
    <row r="339" spans="27:30" ht="15">
      <c r="AA339"/>
      <c r="AB339"/>
      <c r="AC339"/>
      <c r="AD339"/>
    </row>
    <row r="340" spans="27:30" ht="15">
      <c r="AA340"/>
      <c r="AB340"/>
      <c r="AC340"/>
      <c r="AD340"/>
    </row>
    <row r="341" spans="27:30" ht="15">
      <c r="AA341"/>
      <c r="AB341"/>
      <c r="AC341"/>
      <c r="AD341"/>
    </row>
    <row r="342" spans="27:30" ht="15">
      <c r="AA342"/>
      <c r="AB342"/>
      <c r="AC342"/>
      <c r="AD342"/>
    </row>
    <row r="343" spans="27:30" ht="15">
      <c r="AA343"/>
      <c r="AB343"/>
      <c r="AC343"/>
      <c r="AD343"/>
    </row>
    <row r="344" spans="27:30" ht="15">
      <c r="AA344"/>
      <c r="AB344"/>
      <c r="AC344"/>
      <c r="AD344"/>
    </row>
    <row r="345" spans="27:30" ht="15">
      <c r="AA345"/>
      <c r="AB345"/>
      <c r="AC345"/>
      <c r="AD345"/>
    </row>
    <row r="346" spans="27:30" ht="15">
      <c r="AA346"/>
      <c r="AB346"/>
      <c r="AC346"/>
      <c r="AD346"/>
    </row>
    <row r="347" spans="27:30" ht="15">
      <c r="AA347"/>
      <c r="AB347"/>
      <c r="AC347"/>
      <c r="AD347"/>
    </row>
    <row r="348" spans="27:30" ht="15">
      <c r="AA348"/>
      <c r="AB348"/>
      <c r="AC348"/>
      <c r="AD348"/>
    </row>
    <row r="349" spans="27:30" ht="15">
      <c r="AA349"/>
      <c r="AB349"/>
      <c r="AC349"/>
      <c r="AD349"/>
    </row>
    <row r="350" spans="27:30" ht="15">
      <c r="AA350"/>
      <c r="AB350"/>
      <c r="AC350"/>
      <c r="AD350"/>
    </row>
    <row r="351" spans="27:30" ht="15">
      <c r="AA351"/>
      <c r="AB351"/>
      <c r="AC351"/>
      <c r="AD351"/>
    </row>
    <row r="352" spans="27:30" ht="15">
      <c r="AA352"/>
      <c r="AB352"/>
      <c r="AC352"/>
      <c r="AD352"/>
    </row>
    <row r="353" spans="27:30" ht="15">
      <c r="AA353"/>
      <c r="AB353"/>
      <c r="AC353"/>
      <c r="AD353"/>
    </row>
    <row r="354" spans="27:30" ht="15">
      <c r="AA354"/>
      <c r="AB354"/>
      <c r="AC354"/>
      <c r="AD354"/>
    </row>
    <row r="355" spans="27:30" ht="15">
      <c r="AA355"/>
      <c r="AB355"/>
      <c r="AC355"/>
      <c r="AD355"/>
    </row>
    <row r="356" spans="27:30" ht="15">
      <c r="AA356"/>
      <c r="AB356"/>
      <c r="AC356"/>
      <c r="AD356"/>
    </row>
    <row r="357" spans="27:30" ht="15">
      <c r="AA357"/>
      <c r="AB357"/>
      <c r="AC357"/>
      <c r="AD357"/>
    </row>
    <row r="358" spans="27:30" ht="15">
      <c r="AA358"/>
      <c r="AB358"/>
      <c r="AC358"/>
      <c r="AD358"/>
    </row>
    <row r="359" spans="27:30" ht="15">
      <c r="AA359"/>
      <c r="AB359"/>
      <c r="AC359"/>
      <c r="AD359"/>
    </row>
    <row r="360" spans="27:30" ht="15">
      <c r="AA360"/>
      <c r="AB360"/>
      <c r="AC360"/>
      <c r="AD360"/>
    </row>
    <row r="361" spans="27:30" ht="15">
      <c r="AA361"/>
      <c r="AB361"/>
      <c r="AC361"/>
      <c r="AD361"/>
    </row>
    <row r="362" spans="27:30" ht="15">
      <c r="AA362"/>
      <c r="AB362"/>
      <c r="AC362"/>
      <c r="AD362"/>
    </row>
    <row r="363" spans="27:30" ht="15">
      <c r="AA363"/>
      <c r="AB363"/>
      <c r="AC363"/>
      <c r="AD363"/>
    </row>
    <row r="364" spans="27:30" ht="15">
      <c r="AA364"/>
      <c r="AB364"/>
      <c r="AC364"/>
      <c r="AD364"/>
    </row>
    <row r="365" spans="27:30" ht="15">
      <c r="AA365"/>
      <c r="AB365"/>
      <c r="AC365"/>
      <c r="AD365"/>
    </row>
    <row r="366" spans="27:30" ht="15">
      <c r="AA366"/>
      <c r="AB366"/>
      <c r="AC366"/>
      <c r="AD366"/>
    </row>
    <row r="367" spans="27:30" ht="15">
      <c r="AA367"/>
      <c r="AB367"/>
      <c r="AC367"/>
      <c r="AD367"/>
    </row>
    <row r="368" spans="27:30" ht="15">
      <c r="AA368"/>
      <c r="AB368"/>
      <c r="AC368"/>
      <c r="AD368"/>
    </row>
    <row r="369" spans="27:30" ht="15">
      <c r="AA369"/>
      <c r="AB369"/>
      <c r="AC369"/>
      <c r="AD369"/>
    </row>
    <row r="370" spans="27:30" ht="15">
      <c r="AA370"/>
      <c r="AB370"/>
      <c r="AC370"/>
      <c r="AD370"/>
    </row>
    <row r="371" spans="27:30" ht="15">
      <c r="AA371"/>
      <c r="AB371"/>
      <c r="AC371"/>
      <c r="AD371"/>
    </row>
    <row r="372" spans="27:30" ht="15">
      <c r="AA372"/>
      <c r="AB372"/>
      <c r="AC372"/>
      <c r="AD372"/>
    </row>
    <row r="373" spans="27:30" ht="15">
      <c r="AA373"/>
      <c r="AB373"/>
      <c r="AC373"/>
      <c r="AD373"/>
    </row>
    <row r="374" spans="27:30" ht="15">
      <c r="AA374"/>
      <c r="AB374"/>
      <c r="AC374"/>
      <c r="AD374"/>
    </row>
    <row r="375" spans="27:30" ht="15">
      <c r="AA375"/>
      <c r="AB375"/>
      <c r="AC375"/>
      <c r="AD375"/>
    </row>
    <row r="376" spans="27:30" ht="15">
      <c r="AA376"/>
      <c r="AB376"/>
      <c r="AC376"/>
      <c r="AD376"/>
    </row>
    <row r="377" spans="27:30" ht="15">
      <c r="AA377"/>
      <c r="AB377"/>
      <c r="AC377"/>
      <c r="AD377"/>
    </row>
    <row r="378" spans="27:30" ht="15">
      <c r="AA378"/>
      <c r="AB378"/>
      <c r="AC378"/>
      <c r="AD378"/>
    </row>
    <row r="379" spans="27:30" ht="15">
      <c r="AA379"/>
      <c r="AB379"/>
      <c r="AC379"/>
      <c r="AD379"/>
    </row>
    <row r="380" spans="27:30" ht="15">
      <c r="AA380"/>
      <c r="AB380"/>
      <c r="AC380"/>
      <c r="AD380"/>
    </row>
    <row r="381" spans="27:30" ht="15">
      <c r="AA381"/>
      <c r="AB381"/>
      <c r="AC381"/>
      <c r="AD381"/>
    </row>
    <row r="382" spans="27:30" ht="15">
      <c r="AA382"/>
      <c r="AB382"/>
      <c r="AC382"/>
      <c r="AD382"/>
    </row>
    <row r="383" spans="27:30" ht="15">
      <c r="AA383"/>
      <c r="AB383"/>
      <c r="AC383"/>
      <c r="AD383"/>
    </row>
    <row r="384" spans="27:30" ht="15">
      <c r="AA384"/>
      <c r="AB384"/>
      <c r="AC384"/>
      <c r="AD384"/>
    </row>
    <row r="385" spans="27:30" ht="15">
      <c r="AA385"/>
      <c r="AB385"/>
      <c r="AC385"/>
      <c r="AD385"/>
    </row>
    <row r="386" spans="27:30" ht="15">
      <c r="AA386"/>
      <c r="AB386"/>
      <c r="AC386"/>
      <c r="AD386"/>
    </row>
    <row r="387" spans="27:30" ht="15">
      <c r="AA387"/>
      <c r="AB387"/>
      <c r="AC387"/>
      <c r="AD387"/>
    </row>
    <row r="388" spans="27:30" ht="15">
      <c r="AA388"/>
      <c r="AB388"/>
      <c r="AC388"/>
      <c r="AD388"/>
    </row>
    <row r="389" spans="27:30" ht="15">
      <c r="AA389"/>
      <c r="AB389"/>
      <c r="AC389"/>
      <c r="AD389"/>
    </row>
    <row r="390" spans="27:30" ht="15">
      <c r="AA390"/>
      <c r="AB390"/>
      <c r="AC390"/>
      <c r="AD390"/>
    </row>
    <row r="391" spans="27:30" ht="15">
      <c r="AA391"/>
      <c r="AB391"/>
      <c r="AC391"/>
      <c r="AD391"/>
    </row>
    <row r="392" spans="27:30" ht="15">
      <c r="AA392"/>
      <c r="AB392"/>
      <c r="AC392"/>
      <c r="AD392"/>
    </row>
    <row r="393" spans="27:30" ht="15">
      <c r="AA393"/>
      <c r="AB393"/>
      <c r="AC393"/>
      <c r="AD393"/>
    </row>
    <row r="394" spans="27:30" ht="15">
      <c r="AA394"/>
      <c r="AB394"/>
      <c r="AC394"/>
      <c r="AD394"/>
    </row>
    <row r="395" spans="27:30" ht="15">
      <c r="AA395"/>
      <c r="AB395"/>
      <c r="AC395"/>
      <c r="AD395"/>
    </row>
    <row r="396" spans="27:30" ht="15">
      <c r="AA396"/>
      <c r="AB396"/>
      <c r="AC396"/>
      <c r="AD396"/>
    </row>
    <row r="397" spans="27:30" ht="15">
      <c r="AA397"/>
      <c r="AB397"/>
      <c r="AC397"/>
      <c r="AD397"/>
    </row>
    <row r="398" spans="27:30" ht="15">
      <c r="AA398"/>
      <c r="AB398"/>
      <c r="AC398"/>
      <c r="AD398"/>
    </row>
    <row r="399" spans="27:30" ht="15">
      <c r="AA399"/>
      <c r="AB399"/>
      <c r="AC399"/>
      <c r="AD399"/>
    </row>
    <row r="400" spans="27:30" ht="15">
      <c r="AA400"/>
      <c r="AB400"/>
      <c r="AC400"/>
      <c r="AD400"/>
    </row>
    <row r="401" spans="27:30" ht="15">
      <c r="AA401"/>
      <c r="AB401"/>
      <c r="AC401"/>
      <c r="AD401"/>
    </row>
    <row r="402" spans="27:30" ht="15">
      <c r="AA402"/>
      <c r="AB402"/>
      <c r="AC402"/>
      <c r="AD402"/>
    </row>
    <row r="403" spans="27:30" ht="15">
      <c r="AA403"/>
      <c r="AB403"/>
      <c r="AC403"/>
      <c r="AD403"/>
    </row>
    <row r="404" spans="27:30" ht="15">
      <c r="AA404"/>
      <c r="AB404"/>
      <c r="AC404"/>
      <c r="AD404"/>
    </row>
    <row r="405" spans="27:30" ht="15">
      <c r="AA405"/>
      <c r="AB405"/>
      <c r="AC405"/>
      <c r="AD405"/>
    </row>
    <row r="406" spans="27:30" ht="15">
      <c r="AA406"/>
      <c r="AB406"/>
      <c r="AC406"/>
      <c r="AD406"/>
    </row>
    <row r="407" spans="27:30" ht="15">
      <c r="AA407"/>
      <c r="AB407"/>
      <c r="AC407"/>
      <c r="AD407"/>
    </row>
    <row r="408" spans="27:30" ht="15">
      <c r="AA408"/>
      <c r="AB408"/>
      <c r="AC408"/>
      <c r="AD408"/>
    </row>
    <row r="409" spans="27:30" ht="15">
      <c r="AA409"/>
      <c r="AB409"/>
      <c r="AC409"/>
      <c r="AD409"/>
    </row>
    <row r="410" spans="27:30" ht="15">
      <c r="AA410"/>
      <c r="AB410"/>
      <c r="AC410"/>
      <c r="AD410"/>
    </row>
    <row r="411" spans="27:30" ht="15">
      <c r="AA411"/>
      <c r="AB411"/>
      <c r="AC411"/>
      <c r="AD411"/>
    </row>
    <row r="412" spans="27:30" ht="15">
      <c r="AA412"/>
      <c r="AB412"/>
      <c r="AC412"/>
      <c r="AD412"/>
    </row>
    <row r="413" spans="27:30" ht="15">
      <c r="AA413"/>
      <c r="AB413"/>
      <c r="AC413"/>
      <c r="AD413"/>
    </row>
    <row r="414" spans="27:30" ht="15">
      <c r="AA414"/>
      <c r="AB414"/>
      <c r="AC414"/>
      <c r="AD414"/>
    </row>
    <row r="415" spans="27:30" ht="15">
      <c r="AA415"/>
      <c r="AB415"/>
      <c r="AC415"/>
      <c r="AD415"/>
    </row>
    <row r="416" spans="27:30" ht="15">
      <c r="AA416"/>
      <c r="AB416"/>
      <c r="AC416"/>
      <c r="AD416"/>
    </row>
    <row r="417" spans="27:30" ht="15">
      <c r="AA417"/>
      <c r="AB417"/>
      <c r="AC417"/>
      <c r="AD417"/>
    </row>
    <row r="418" spans="27:30" ht="15">
      <c r="AA418"/>
      <c r="AB418"/>
      <c r="AC418"/>
      <c r="AD418"/>
    </row>
    <row r="419" spans="27:30" ht="15">
      <c r="AA419"/>
      <c r="AB419"/>
      <c r="AC419"/>
      <c r="AD419"/>
    </row>
    <row r="420" spans="27:30" ht="15">
      <c r="AA420"/>
      <c r="AB420"/>
      <c r="AC420"/>
      <c r="AD420"/>
    </row>
    <row r="421" spans="27:30" ht="15">
      <c r="AA421"/>
      <c r="AB421"/>
      <c r="AC421"/>
      <c r="AD421"/>
    </row>
    <row r="422" spans="27:30" ht="15">
      <c r="AA422"/>
      <c r="AB422"/>
      <c r="AC422"/>
      <c r="AD422"/>
    </row>
    <row r="423" spans="27:30" ht="15">
      <c r="AA423"/>
      <c r="AB423"/>
      <c r="AC423"/>
      <c r="AD423"/>
    </row>
    <row r="424" spans="27:30" ht="15">
      <c r="AA424"/>
      <c r="AB424"/>
      <c r="AC424"/>
      <c r="AD424"/>
    </row>
    <row r="425" spans="27:30" ht="15">
      <c r="AA425"/>
      <c r="AB425"/>
      <c r="AC425"/>
      <c r="AD425"/>
    </row>
    <row r="426" spans="27:30" ht="15">
      <c r="AA426"/>
      <c r="AB426"/>
      <c r="AC426"/>
      <c r="AD426"/>
    </row>
    <row r="427" spans="27:30" ht="15">
      <c r="AA427"/>
      <c r="AB427"/>
      <c r="AC427"/>
      <c r="AD427"/>
    </row>
    <row r="428" spans="27:30" ht="15">
      <c r="AA428"/>
      <c r="AB428"/>
      <c r="AC428"/>
      <c r="AD428"/>
    </row>
    <row r="429" spans="27:30" ht="15">
      <c r="AA429"/>
      <c r="AB429"/>
      <c r="AC429"/>
      <c r="AD429"/>
    </row>
    <row r="430" spans="27:30" ht="15">
      <c r="AA430"/>
      <c r="AB430"/>
      <c r="AC430"/>
      <c r="AD430"/>
    </row>
    <row r="431" spans="27:30" ht="15">
      <c r="AA431"/>
      <c r="AB431"/>
      <c r="AC431"/>
      <c r="AD431"/>
    </row>
    <row r="432" spans="27:30" ht="15">
      <c r="AA432"/>
      <c r="AB432"/>
      <c r="AC432"/>
      <c r="AD432"/>
    </row>
    <row r="433" spans="27:30" ht="15">
      <c r="AA433"/>
      <c r="AB433"/>
      <c r="AC433"/>
      <c r="AD433"/>
    </row>
    <row r="434" spans="27:30" ht="15">
      <c r="AA434"/>
      <c r="AB434"/>
      <c r="AC434"/>
      <c r="AD434"/>
    </row>
    <row r="435" spans="27:30" ht="15">
      <c r="AA435"/>
      <c r="AB435"/>
      <c r="AC435"/>
      <c r="AD435"/>
    </row>
    <row r="436" spans="27:30" ht="15">
      <c r="AA436"/>
      <c r="AB436"/>
      <c r="AC436"/>
      <c r="AD436"/>
    </row>
    <row r="437" spans="27:30" ht="15">
      <c r="AA437"/>
      <c r="AB437"/>
      <c r="AC437"/>
      <c r="AD437"/>
    </row>
    <row r="438" spans="27:30" ht="15">
      <c r="AA438"/>
      <c r="AB438"/>
      <c r="AC438"/>
      <c r="AD438"/>
    </row>
    <row r="439" spans="27:30" ht="15">
      <c r="AA439"/>
      <c r="AB439"/>
      <c r="AC439"/>
      <c r="AD439"/>
    </row>
    <row r="440" spans="27:30" ht="15">
      <c r="AA440"/>
      <c r="AB440"/>
      <c r="AC440"/>
      <c r="AD440"/>
    </row>
    <row r="441" spans="27:30" ht="15">
      <c r="AA441"/>
      <c r="AB441"/>
      <c r="AC441"/>
      <c r="AD441"/>
    </row>
    <row r="442" spans="27:30" ht="15">
      <c r="AA442"/>
      <c r="AB442"/>
      <c r="AC442"/>
      <c r="AD442"/>
    </row>
    <row r="443" spans="27:30" ht="15">
      <c r="AA443"/>
      <c r="AB443"/>
      <c r="AC443"/>
      <c r="AD443"/>
    </row>
    <row r="444" spans="27:30" ht="15">
      <c r="AA444"/>
      <c r="AB444"/>
      <c r="AC444"/>
      <c r="AD444"/>
    </row>
    <row r="445" spans="27:30" ht="15">
      <c r="AA445"/>
      <c r="AB445"/>
      <c r="AC445"/>
      <c r="AD445"/>
    </row>
    <row r="446" spans="27:30" ht="15">
      <c r="AA446"/>
      <c r="AB446"/>
      <c r="AC446"/>
      <c r="AD446"/>
    </row>
    <row r="447" spans="27:30" ht="15">
      <c r="AA447"/>
      <c r="AB447"/>
      <c r="AC447"/>
      <c r="AD447"/>
    </row>
    <row r="448" spans="27:30" ht="15">
      <c r="AA448"/>
      <c r="AB448"/>
      <c r="AC448"/>
      <c r="AD448"/>
    </row>
    <row r="449" spans="27:30" ht="15">
      <c r="AA449"/>
      <c r="AB449"/>
      <c r="AC449"/>
      <c r="AD449"/>
    </row>
    <row r="450" spans="27:30" ht="15">
      <c r="AA450"/>
      <c r="AB450"/>
      <c r="AC450"/>
      <c r="AD450"/>
    </row>
    <row r="451" spans="27:30" ht="15">
      <c r="AA451"/>
      <c r="AB451"/>
      <c r="AC451"/>
      <c r="AD451"/>
    </row>
    <row r="452" spans="27:30" ht="15">
      <c r="AA452"/>
      <c r="AB452"/>
      <c r="AC452"/>
      <c r="AD452"/>
    </row>
    <row r="453" spans="27:30" ht="15">
      <c r="AA453"/>
      <c r="AB453"/>
      <c r="AC453"/>
      <c r="AD453"/>
    </row>
    <row r="454" spans="27:30" ht="15">
      <c r="AA454"/>
      <c r="AB454"/>
      <c r="AC454"/>
      <c r="AD454"/>
    </row>
    <row r="455" spans="27:30" ht="15">
      <c r="AA455"/>
      <c r="AB455"/>
      <c r="AC455"/>
      <c r="AD455"/>
    </row>
    <row r="456" spans="27:30" ht="15">
      <c r="AA456"/>
      <c r="AB456"/>
      <c r="AC456"/>
      <c r="AD456"/>
    </row>
    <row r="457" spans="27:30" ht="15">
      <c r="AA457"/>
      <c r="AB457"/>
      <c r="AC457"/>
      <c r="AD457"/>
    </row>
    <row r="458" spans="27:30" ht="15">
      <c r="AA458"/>
      <c r="AB458"/>
      <c r="AC458"/>
      <c r="AD458"/>
    </row>
    <row r="459" spans="27:30" ht="15">
      <c r="AA459"/>
      <c r="AB459"/>
      <c r="AC459"/>
      <c r="AD459"/>
    </row>
    <row r="460" spans="27:30" ht="15">
      <c r="AA460"/>
      <c r="AB460"/>
      <c r="AC460"/>
      <c r="AD460"/>
    </row>
    <row r="461" spans="27:30" ht="15">
      <c r="AA461"/>
      <c r="AB461"/>
      <c r="AC461"/>
      <c r="AD461"/>
    </row>
    <row r="462" spans="27:30" ht="15">
      <c r="AA462"/>
      <c r="AB462"/>
      <c r="AC462"/>
      <c r="AD462"/>
    </row>
    <row r="463" spans="27:30" ht="15">
      <c r="AA463"/>
      <c r="AB463"/>
      <c r="AC463"/>
      <c r="AD463"/>
    </row>
    <row r="464" spans="27:30" ht="15">
      <c r="AA464"/>
      <c r="AB464"/>
      <c r="AC464"/>
      <c r="AD464"/>
    </row>
    <row r="465" spans="27:30" ht="15">
      <c r="AA465"/>
      <c r="AB465"/>
      <c r="AC465"/>
      <c r="AD465"/>
    </row>
    <row r="466" spans="27:30" ht="15">
      <c r="AA466"/>
      <c r="AB466"/>
      <c r="AC466"/>
      <c r="AD466"/>
    </row>
    <row r="467" spans="27:30" ht="15">
      <c r="AA467"/>
      <c r="AB467"/>
      <c r="AC467"/>
      <c r="AD467"/>
    </row>
    <row r="468" spans="27:30" ht="15">
      <c r="AA468"/>
      <c r="AB468"/>
      <c r="AC468"/>
      <c r="AD468"/>
    </row>
    <row r="469" spans="27:30" ht="15">
      <c r="AA469"/>
      <c r="AB469"/>
      <c r="AC469"/>
      <c r="AD469"/>
    </row>
    <row r="470" spans="27:30" ht="15">
      <c r="AA470"/>
      <c r="AB470"/>
      <c r="AC470"/>
      <c r="AD470"/>
    </row>
    <row r="471" spans="27:30" ht="15">
      <c r="AA471"/>
      <c r="AB471"/>
      <c r="AC471"/>
      <c r="AD471"/>
    </row>
    <row r="472" spans="27:30" ht="15">
      <c r="AA472"/>
      <c r="AB472"/>
      <c r="AC472"/>
      <c r="AD472"/>
    </row>
    <row r="473" spans="27:30" ht="15">
      <c r="AA473"/>
      <c r="AB473"/>
      <c r="AC473"/>
      <c r="AD473"/>
    </row>
    <row r="474" spans="27:30" ht="15">
      <c r="AA474"/>
      <c r="AB474"/>
      <c r="AC474"/>
      <c r="AD474"/>
    </row>
    <row r="475" spans="27:30" ht="15">
      <c r="AA475"/>
      <c r="AB475"/>
      <c r="AC475"/>
      <c r="AD475"/>
    </row>
    <row r="476" spans="27:30" ht="15">
      <c r="AA476"/>
      <c r="AB476"/>
      <c r="AC476"/>
      <c r="AD476"/>
    </row>
    <row r="477" spans="27:30" ht="15">
      <c r="AA477"/>
      <c r="AB477"/>
      <c r="AC477"/>
      <c r="AD477"/>
    </row>
    <row r="478" spans="27:30" ht="15">
      <c r="AA478"/>
      <c r="AB478"/>
      <c r="AC478"/>
      <c r="AD478"/>
    </row>
    <row r="479" spans="27:30" ht="15">
      <c r="AA479"/>
      <c r="AB479"/>
      <c r="AC479"/>
      <c r="AD479"/>
    </row>
    <row r="480" spans="27:30" ht="15">
      <c r="AA480"/>
      <c r="AB480"/>
      <c r="AC480"/>
      <c r="AD480"/>
    </row>
    <row r="481" spans="27:30" ht="15">
      <c r="AA481"/>
      <c r="AB481"/>
      <c r="AC481"/>
      <c r="AD481"/>
    </row>
    <row r="482" spans="27:30" ht="15">
      <c r="AA482"/>
      <c r="AB482"/>
      <c r="AC482"/>
      <c r="AD482"/>
    </row>
    <row r="483" spans="27:30" ht="15">
      <c r="AA483"/>
      <c r="AB483"/>
      <c r="AC483"/>
      <c r="AD483"/>
    </row>
    <row r="484" spans="27:30" ht="15">
      <c r="AA484"/>
      <c r="AB484"/>
      <c r="AC484"/>
      <c r="AD484"/>
    </row>
    <row r="485" spans="27:30" ht="15">
      <c r="AA485"/>
      <c r="AB485"/>
      <c r="AC485"/>
      <c r="AD485"/>
    </row>
    <row r="486" spans="27:30" ht="15">
      <c r="AA486"/>
      <c r="AB486"/>
      <c r="AC486"/>
      <c r="AD486"/>
    </row>
    <row r="487" spans="27:30" ht="15">
      <c r="AA487"/>
      <c r="AB487"/>
      <c r="AC487"/>
      <c r="AD487"/>
    </row>
    <row r="488" spans="27:30" ht="15">
      <c r="AA488"/>
      <c r="AB488"/>
      <c r="AC488"/>
      <c r="AD488"/>
    </row>
    <row r="489" spans="27:30" ht="15">
      <c r="AA489"/>
      <c r="AB489"/>
      <c r="AC489"/>
      <c r="AD489"/>
    </row>
    <row r="490" spans="27:30" ht="15">
      <c r="AA490"/>
      <c r="AB490"/>
      <c r="AC490"/>
      <c r="AD490"/>
    </row>
    <row r="491" spans="27:30" ht="15">
      <c r="AA491"/>
      <c r="AB491"/>
      <c r="AC491"/>
      <c r="AD491"/>
    </row>
    <row r="492" spans="27:30" ht="15">
      <c r="AA492"/>
      <c r="AB492"/>
      <c r="AC492"/>
      <c r="AD492"/>
    </row>
    <row r="493" spans="27:30" ht="15">
      <c r="AA493"/>
      <c r="AB493"/>
      <c r="AC493"/>
      <c r="AD493"/>
    </row>
    <row r="494" spans="27:30" ht="15">
      <c r="AA494"/>
      <c r="AB494"/>
      <c r="AC494"/>
      <c r="AD494"/>
    </row>
    <row r="495" spans="27:30" ht="15">
      <c r="AA495"/>
      <c r="AB495"/>
      <c r="AC495"/>
      <c r="AD495"/>
    </row>
    <row r="496" spans="27:30" ht="15">
      <c r="AA496"/>
      <c r="AB496"/>
      <c r="AC496"/>
      <c r="AD496"/>
    </row>
    <row r="497" spans="27:30" ht="15">
      <c r="AA497"/>
      <c r="AB497"/>
      <c r="AC497"/>
      <c r="AD497"/>
    </row>
    <row r="498" spans="27:30" ht="15">
      <c r="AA498"/>
      <c r="AB498"/>
      <c r="AC498"/>
      <c r="AD498"/>
    </row>
    <row r="499" spans="27:30" ht="15">
      <c r="AA499"/>
      <c r="AB499"/>
      <c r="AC499"/>
      <c r="AD499"/>
    </row>
    <row r="500" spans="27:30" ht="15">
      <c r="AA500"/>
      <c r="AB500"/>
      <c r="AC500"/>
      <c r="AD500"/>
    </row>
    <row r="501" spans="27:30" ht="15">
      <c r="AA501"/>
      <c r="AB501"/>
      <c r="AC501"/>
      <c r="AD501"/>
    </row>
    <row r="502" spans="27:30" ht="15">
      <c r="AA502"/>
      <c r="AB502"/>
      <c r="AC502"/>
      <c r="AD502"/>
    </row>
    <row r="503" spans="27:30" ht="15">
      <c r="AA503"/>
      <c r="AB503"/>
      <c r="AC503"/>
      <c r="AD503"/>
    </row>
    <row r="504" spans="27:30" ht="15">
      <c r="AA504"/>
      <c r="AB504"/>
      <c r="AC504"/>
      <c r="AD504"/>
    </row>
    <row r="505" spans="27:30" ht="15">
      <c r="AA505"/>
      <c r="AB505"/>
      <c r="AC505"/>
      <c r="AD505"/>
    </row>
    <row r="506" spans="27:30" ht="15">
      <c r="AA506"/>
      <c r="AB506"/>
      <c r="AC506"/>
      <c r="AD506"/>
    </row>
    <row r="507" spans="27:30" ht="15">
      <c r="AA507"/>
      <c r="AB507"/>
      <c r="AC507"/>
      <c r="AD507"/>
    </row>
    <row r="508" spans="27:30" ht="15">
      <c r="AA508"/>
      <c r="AB508"/>
      <c r="AC508"/>
      <c r="AD508"/>
    </row>
    <row r="509" spans="27:30" ht="15">
      <c r="AA509"/>
      <c r="AB509"/>
      <c r="AC509"/>
      <c r="AD509"/>
    </row>
    <row r="510" spans="27:30" ht="15">
      <c r="AA510"/>
      <c r="AB510"/>
      <c r="AC510"/>
      <c r="AD510"/>
    </row>
    <row r="511" spans="27:30" ht="15">
      <c r="AA511"/>
      <c r="AB511"/>
      <c r="AC511"/>
      <c r="AD511"/>
    </row>
    <row r="512" spans="27:30" ht="15">
      <c r="AA512"/>
      <c r="AB512"/>
      <c r="AC512"/>
      <c r="AD512"/>
    </row>
    <row r="513" spans="27:30" ht="15">
      <c r="AA513"/>
      <c r="AB513"/>
      <c r="AC513"/>
      <c r="AD513"/>
    </row>
    <row r="514" spans="27:30" ht="15">
      <c r="AA514"/>
      <c r="AB514"/>
      <c r="AC514"/>
      <c r="AD514"/>
    </row>
    <row r="515" spans="27:30" ht="15">
      <c r="AA515"/>
      <c r="AB515"/>
      <c r="AC515"/>
      <c r="AD515"/>
    </row>
    <row r="516" spans="27:30" ht="15">
      <c r="AA516"/>
      <c r="AB516"/>
      <c r="AC516"/>
      <c r="AD516"/>
    </row>
    <row r="517" spans="27:30" ht="15">
      <c r="AA517"/>
      <c r="AB517"/>
      <c r="AC517"/>
      <c r="AD517"/>
    </row>
    <row r="518" spans="27:30" ht="15">
      <c r="AA518"/>
      <c r="AB518"/>
      <c r="AC518"/>
      <c r="AD518"/>
    </row>
    <row r="519" spans="27:30" ht="15">
      <c r="AA519"/>
      <c r="AB519"/>
      <c r="AC519"/>
      <c r="AD519"/>
    </row>
    <row r="520" spans="27:30" ht="15">
      <c r="AA520"/>
      <c r="AB520"/>
      <c r="AC520"/>
      <c r="AD520"/>
    </row>
    <row r="521" spans="27:30" ht="15">
      <c r="AA521"/>
      <c r="AB521"/>
      <c r="AC521"/>
      <c r="AD521"/>
    </row>
    <row r="522" spans="27:30" ht="15">
      <c r="AA522"/>
      <c r="AB522"/>
      <c r="AC522"/>
      <c r="AD522"/>
    </row>
    <row r="523" spans="27:30" ht="15">
      <c r="AA523"/>
      <c r="AB523"/>
      <c r="AC523"/>
      <c r="AD523"/>
    </row>
    <row r="524" spans="27:30" ht="15">
      <c r="AA524"/>
      <c r="AB524"/>
      <c r="AC524"/>
      <c r="AD524"/>
    </row>
    <row r="525" spans="27:30" ht="15">
      <c r="AA525"/>
      <c r="AB525"/>
      <c r="AC525"/>
      <c r="AD525"/>
    </row>
    <row r="526" spans="27:30" ht="15">
      <c r="AA526"/>
      <c r="AB526"/>
      <c r="AC526"/>
      <c r="AD526"/>
    </row>
    <row r="527" spans="27:30" ht="15">
      <c r="AA527"/>
      <c r="AB527"/>
      <c r="AC527"/>
      <c r="AD527"/>
    </row>
    <row r="528" spans="27:30" ht="15">
      <c r="AA528"/>
      <c r="AB528"/>
      <c r="AC528"/>
      <c r="AD528"/>
    </row>
    <row r="529" spans="27:30" ht="15">
      <c r="AA529"/>
      <c r="AB529"/>
      <c r="AC529"/>
      <c r="AD529"/>
    </row>
    <row r="530" spans="27:30" ht="15">
      <c r="AA530"/>
      <c r="AB530"/>
      <c r="AC530"/>
      <c r="AD530"/>
    </row>
    <row r="531" spans="27:30" ht="15">
      <c r="AA531"/>
      <c r="AB531"/>
      <c r="AC531"/>
      <c r="AD531"/>
    </row>
    <row r="532" spans="27:30" ht="15">
      <c r="AA532"/>
      <c r="AB532"/>
      <c r="AC532"/>
      <c r="AD532"/>
    </row>
    <row r="533" spans="27:30" ht="15">
      <c r="AA533"/>
      <c r="AB533"/>
      <c r="AC533"/>
      <c r="AD533"/>
    </row>
    <row r="534" spans="27:30" ht="15">
      <c r="AA534"/>
      <c r="AB534"/>
      <c r="AC534"/>
      <c r="AD534"/>
    </row>
    <row r="535" spans="27:30" ht="15">
      <c r="AA535"/>
      <c r="AB535"/>
      <c r="AC535"/>
      <c r="AD535"/>
    </row>
    <row r="536" spans="27:30" ht="15">
      <c r="AA536"/>
      <c r="AB536"/>
      <c r="AC536"/>
      <c r="AD536"/>
    </row>
    <row r="537" spans="27:30" ht="15">
      <c r="AA537"/>
      <c r="AB537"/>
      <c r="AC537"/>
      <c r="AD537"/>
    </row>
    <row r="538" spans="27:30" ht="15">
      <c r="AA538"/>
      <c r="AB538"/>
      <c r="AC538"/>
      <c r="AD538"/>
    </row>
    <row r="539" spans="27:30" ht="15">
      <c r="AA539"/>
      <c r="AB539"/>
      <c r="AC539"/>
      <c r="AD539"/>
    </row>
    <row r="540" spans="27:30" ht="15">
      <c r="AA540"/>
      <c r="AB540"/>
      <c r="AC540"/>
      <c r="AD540"/>
    </row>
    <row r="541" spans="27:30" ht="15">
      <c r="AA541"/>
      <c r="AB541"/>
      <c r="AC541"/>
      <c r="AD541"/>
    </row>
    <row r="542" spans="27:30" ht="15">
      <c r="AA542"/>
      <c r="AB542"/>
      <c r="AC542"/>
      <c r="AD542"/>
    </row>
    <row r="543" spans="27:30" ht="15">
      <c r="AA543"/>
      <c r="AB543"/>
      <c r="AC543"/>
      <c r="AD543"/>
    </row>
    <row r="544" spans="27:30" ht="15">
      <c r="AA544"/>
      <c r="AB544"/>
      <c r="AC544"/>
      <c r="AD544"/>
    </row>
    <row r="545" spans="27:30" ht="15">
      <c r="AA545"/>
      <c r="AB545"/>
      <c r="AC545"/>
      <c r="AD545"/>
    </row>
    <row r="546" spans="27:30" ht="15">
      <c r="AA546"/>
      <c r="AB546"/>
      <c r="AC546"/>
      <c r="AD546"/>
    </row>
    <row r="547" spans="27:30" ht="15">
      <c r="AA547"/>
      <c r="AB547"/>
      <c r="AC547"/>
      <c r="AD547"/>
    </row>
    <row r="548" spans="27:30" ht="15">
      <c r="AA548"/>
      <c r="AB548"/>
      <c r="AC548"/>
      <c r="AD548"/>
    </row>
    <row r="549" spans="27:30" ht="15">
      <c r="AA549"/>
      <c r="AB549"/>
      <c r="AC549"/>
      <c r="AD549"/>
    </row>
    <row r="550" spans="27:30" ht="15">
      <c r="AA550"/>
      <c r="AB550"/>
      <c r="AC550"/>
      <c r="AD550"/>
    </row>
    <row r="551" spans="27:30" ht="15">
      <c r="AA551"/>
      <c r="AB551"/>
      <c r="AC551"/>
      <c r="AD551"/>
    </row>
    <row r="552" spans="27:30" ht="15">
      <c r="AA552"/>
      <c r="AB552"/>
      <c r="AC552"/>
      <c r="AD552"/>
    </row>
    <row r="553" spans="27:30" ht="15">
      <c r="AA553"/>
      <c r="AB553"/>
      <c r="AC553"/>
      <c r="AD553"/>
    </row>
    <row r="554" spans="27:30" ht="15">
      <c r="AA554"/>
      <c r="AB554"/>
      <c r="AC554"/>
      <c r="AD554"/>
    </row>
    <row r="555" spans="27:30" ht="15">
      <c r="AA555"/>
      <c r="AB555"/>
      <c r="AC555"/>
      <c r="AD555"/>
    </row>
    <row r="556" spans="27:30" ht="15">
      <c r="AA556"/>
      <c r="AB556"/>
      <c r="AC556"/>
      <c r="AD556"/>
    </row>
    <row r="557" spans="27:30" ht="15">
      <c r="AA557"/>
      <c r="AB557"/>
      <c r="AC557"/>
      <c r="AD557"/>
    </row>
    <row r="558" spans="27:30" ht="15">
      <c r="AA558"/>
      <c r="AB558"/>
      <c r="AC558"/>
      <c r="AD558"/>
    </row>
    <row r="559" spans="27:30" ht="15">
      <c r="AA559"/>
      <c r="AB559"/>
      <c r="AC559"/>
      <c r="AD559"/>
    </row>
    <row r="560" spans="27:30" ht="15">
      <c r="AA560"/>
      <c r="AB560"/>
      <c r="AC560"/>
      <c r="AD560"/>
    </row>
    <row r="561" spans="27:30" ht="15">
      <c r="AA561"/>
      <c r="AB561"/>
      <c r="AC561"/>
      <c r="AD561"/>
    </row>
    <row r="562" spans="27:30" ht="15">
      <c r="AA562"/>
      <c r="AB562"/>
      <c r="AC562"/>
      <c r="AD562"/>
    </row>
    <row r="563" spans="27:30" ht="15">
      <c r="AA563"/>
      <c r="AB563"/>
      <c r="AC563"/>
      <c r="AD563"/>
    </row>
    <row r="564" spans="27:30" ht="15">
      <c r="AA564"/>
      <c r="AB564"/>
      <c r="AC564"/>
      <c r="AD564"/>
    </row>
    <row r="565" spans="27:30" ht="15">
      <c r="AA565"/>
      <c r="AB565"/>
      <c r="AC565"/>
      <c r="AD565"/>
    </row>
    <row r="566" spans="27:30" ht="15">
      <c r="AA566"/>
      <c r="AB566"/>
      <c r="AC566"/>
      <c r="AD566"/>
    </row>
    <row r="567" spans="27:30" ht="15">
      <c r="AA567"/>
      <c r="AB567"/>
      <c r="AC567"/>
      <c r="AD567"/>
    </row>
    <row r="568" spans="27:30" ht="15">
      <c r="AA568"/>
      <c r="AB568"/>
      <c r="AC568"/>
      <c r="AD568"/>
    </row>
    <row r="569" spans="27:30" ht="15">
      <c r="AA569"/>
      <c r="AB569"/>
      <c r="AC569"/>
      <c r="AD569"/>
    </row>
    <row r="570" spans="27:30" ht="15">
      <c r="AA570"/>
      <c r="AB570"/>
      <c r="AC570"/>
      <c r="AD570"/>
    </row>
    <row r="571" spans="27:30" ht="15">
      <c r="AA571"/>
      <c r="AB571"/>
      <c r="AC571"/>
      <c r="AD571"/>
    </row>
    <row r="572" spans="27:30" ht="15">
      <c r="AA572"/>
      <c r="AB572"/>
      <c r="AC572"/>
      <c r="AD572"/>
    </row>
    <row r="573" spans="27:30" ht="15">
      <c r="AA573"/>
      <c r="AB573"/>
      <c r="AC573"/>
      <c r="AD573"/>
    </row>
    <row r="574" spans="27:30" ht="15">
      <c r="AA574"/>
      <c r="AB574"/>
      <c r="AC574"/>
      <c r="AD574"/>
    </row>
    <row r="575" spans="27:30" ht="15">
      <c r="AA575"/>
      <c r="AB575"/>
      <c r="AC575"/>
      <c r="AD575"/>
    </row>
    <row r="576" spans="27:30" ht="15">
      <c r="AA576"/>
      <c r="AB576"/>
      <c r="AC576"/>
      <c r="AD576"/>
    </row>
    <row r="577" spans="27:30" ht="15">
      <c r="AA577"/>
      <c r="AB577"/>
      <c r="AC577"/>
      <c r="AD577"/>
    </row>
    <row r="578" spans="27:30" ht="15">
      <c r="AA578"/>
      <c r="AB578"/>
      <c r="AC578"/>
      <c r="AD578"/>
    </row>
    <row r="579" spans="27:30" ht="15">
      <c r="AA579"/>
      <c r="AB579"/>
      <c r="AC579"/>
      <c r="AD579"/>
    </row>
    <row r="580" spans="27:30" ht="15">
      <c r="AA580"/>
      <c r="AB580"/>
      <c r="AC580"/>
      <c r="AD580"/>
    </row>
    <row r="581" spans="27:30" ht="15">
      <c r="AA581"/>
      <c r="AB581"/>
      <c r="AC581"/>
      <c r="AD581"/>
    </row>
    <row r="582" spans="27:30" ht="15">
      <c r="AA582"/>
      <c r="AB582"/>
      <c r="AC582"/>
      <c r="AD582"/>
    </row>
    <row r="583" spans="27:30" ht="15">
      <c r="AA583"/>
      <c r="AB583"/>
      <c r="AC583"/>
      <c r="AD583"/>
    </row>
    <row r="584" spans="27:30" ht="15">
      <c r="AA584"/>
      <c r="AB584"/>
      <c r="AC584"/>
      <c r="AD584"/>
    </row>
    <row r="585" spans="27:30" ht="15">
      <c r="AA585"/>
      <c r="AB585"/>
      <c r="AC585"/>
      <c r="AD585"/>
    </row>
    <row r="586" spans="27:30" ht="15">
      <c r="AA586"/>
      <c r="AB586"/>
      <c r="AC586"/>
      <c r="AD586"/>
    </row>
    <row r="587" spans="27:30" ht="15">
      <c r="AA587"/>
      <c r="AB587"/>
      <c r="AC587"/>
      <c r="AD587"/>
    </row>
    <row r="588" spans="27:30" ht="15">
      <c r="AA588"/>
      <c r="AB588"/>
      <c r="AC588"/>
      <c r="AD588"/>
    </row>
    <row r="589" spans="27:30" ht="15">
      <c r="AA589"/>
      <c r="AB589"/>
      <c r="AC589"/>
      <c r="AD589"/>
    </row>
    <row r="590" spans="27:30" ht="15">
      <c r="AA590"/>
      <c r="AB590"/>
      <c r="AC590"/>
      <c r="AD590"/>
    </row>
    <row r="591" spans="27:30" ht="15">
      <c r="AA591"/>
      <c r="AB591"/>
      <c r="AC591"/>
      <c r="AD591"/>
    </row>
    <row r="592" spans="27:30" ht="15">
      <c r="AA592"/>
      <c r="AB592"/>
      <c r="AC592"/>
      <c r="AD592"/>
    </row>
    <row r="593" spans="27:30" ht="15">
      <c r="AA593"/>
      <c r="AB593"/>
      <c r="AC593"/>
      <c r="AD593"/>
    </row>
    <row r="594" spans="27:30" ht="15">
      <c r="AA594"/>
      <c r="AB594"/>
      <c r="AC594"/>
      <c r="AD594"/>
    </row>
    <row r="595" spans="27:30" ht="15">
      <c r="AA595"/>
      <c r="AB595"/>
      <c r="AC595"/>
      <c r="AD595"/>
    </row>
    <row r="596" spans="27:30" ht="15">
      <c r="AA596"/>
      <c r="AB596"/>
      <c r="AC596"/>
      <c r="AD596"/>
    </row>
    <row r="597" spans="27:30" ht="15">
      <c r="AA597"/>
      <c r="AB597"/>
      <c r="AC597"/>
      <c r="AD597"/>
    </row>
    <row r="598" spans="27:30" ht="15">
      <c r="AA598"/>
      <c r="AB598"/>
      <c r="AC598"/>
      <c r="AD598"/>
    </row>
    <row r="599" spans="27:30" ht="15">
      <c r="AA599"/>
      <c r="AB599"/>
      <c r="AC599"/>
      <c r="AD599"/>
    </row>
    <row r="600" spans="27:30" ht="15">
      <c r="AA600"/>
      <c r="AB600"/>
      <c r="AC600"/>
      <c r="AD600"/>
    </row>
    <row r="601" spans="27:30" ht="15">
      <c r="AA601"/>
      <c r="AB601"/>
      <c r="AC601"/>
      <c r="AD601"/>
    </row>
    <row r="602" spans="27:30" ht="15">
      <c r="AA602"/>
      <c r="AB602"/>
      <c r="AC602"/>
      <c r="AD602"/>
    </row>
    <row r="603" spans="27:30" ht="15">
      <c r="AA603"/>
      <c r="AB603"/>
      <c r="AC603"/>
      <c r="AD603"/>
    </row>
    <row r="604" spans="27:30" ht="15">
      <c r="AA604"/>
      <c r="AB604"/>
      <c r="AC604"/>
      <c r="AD604"/>
    </row>
    <row r="605" spans="27:30" ht="15">
      <c r="AA605"/>
      <c r="AB605"/>
      <c r="AC605"/>
      <c r="AD605"/>
    </row>
    <row r="606" spans="27:30" ht="15">
      <c r="AA606"/>
      <c r="AB606"/>
      <c r="AC606"/>
      <c r="AD606"/>
    </row>
    <row r="607" spans="27:30" ht="15">
      <c r="AA607"/>
      <c r="AB607"/>
      <c r="AC607"/>
      <c r="AD607"/>
    </row>
    <row r="608" spans="27:30" ht="15">
      <c r="AA608"/>
      <c r="AB608"/>
      <c r="AC608"/>
      <c r="AD608"/>
    </row>
    <row r="609" spans="27:30" ht="15">
      <c r="AA609"/>
      <c r="AB609"/>
      <c r="AC609"/>
      <c r="AD609"/>
    </row>
    <row r="610" spans="27:30" ht="15">
      <c r="AA610"/>
      <c r="AB610"/>
      <c r="AC610"/>
      <c r="AD610"/>
    </row>
    <row r="611" spans="27:30" ht="15">
      <c r="AA611"/>
      <c r="AB611"/>
      <c r="AC611"/>
      <c r="AD611"/>
    </row>
    <row r="612" spans="27:30" ht="15">
      <c r="AA612"/>
      <c r="AB612"/>
      <c r="AC612"/>
      <c r="AD612"/>
    </row>
    <row r="613" spans="27:30" ht="15">
      <c r="AA613"/>
      <c r="AB613"/>
      <c r="AC613"/>
      <c r="AD613"/>
    </row>
    <row r="614" spans="27:30" ht="15">
      <c r="AA614"/>
      <c r="AB614"/>
      <c r="AC614"/>
      <c r="AD614"/>
    </row>
    <row r="615" spans="27:30" ht="15">
      <c r="AA615"/>
      <c r="AB615"/>
      <c r="AC615"/>
      <c r="AD615"/>
    </row>
    <row r="616" spans="27:30" ht="15">
      <c r="AA616"/>
      <c r="AB616"/>
      <c r="AC616"/>
      <c r="AD616"/>
    </row>
    <row r="617" spans="27:30" ht="15">
      <c r="AA617"/>
      <c r="AB617"/>
      <c r="AC617"/>
      <c r="AD617"/>
    </row>
    <row r="618" spans="27:30" ht="15">
      <c r="AA618"/>
      <c r="AB618"/>
      <c r="AC618"/>
      <c r="AD618"/>
    </row>
    <row r="619" spans="27:30" ht="15">
      <c r="AA619"/>
      <c r="AB619"/>
      <c r="AC619"/>
      <c r="AD619"/>
    </row>
    <row r="620" spans="27:30" ht="15">
      <c r="AA620"/>
      <c r="AB620"/>
      <c r="AC620"/>
      <c r="AD620"/>
    </row>
    <row r="621" spans="27:30" ht="15">
      <c r="AA621"/>
      <c r="AB621"/>
      <c r="AC621"/>
      <c r="AD621"/>
    </row>
    <row r="622" spans="27:30" ht="15">
      <c r="AA622"/>
      <c r="AB622"/>
      <c r="AC622"/>
      <c r="AD622"/>
    </row>
    <row r="623" spans="27:30" ht="15">
      <c r="AA623"/>
      <c r="AB623"/>
      <c r="AC623"/>
      <c r="AD623"/>
    </row>
    <row r="624" spans="27:30" ht="15">
      <c r="AA624"/>
      <c r="AB624"/>
      <c r="AC624"/>
      <c r="AD624"/>
    </row>
    <row r="625" spans="27:30" ht="15">
      <c r="AA625"/>
      <c r="AB625"/>
      <c r="AC625"/>
      <c r="AD625"/>
    </row>
    <row r="626" spans="27:30" ht="15">
      <c r="AA626"/>
      <c r="AB626"/>
      <c r="AC626"/>
      <c r="AD626"/>
    </row>
    <row r="627" spans="27:30" ht="15">
      <c r="AA627"/>
      <c r="AB627"/>
      <c r="AC627"/>
      <c r="AD627"/>
    </row>
    <row r="628" spans="27:30" ht="15">
      <c r="AA628"/>
      <c r="AB628"/>
      <c r="AC628"/>
      <c r="AD628"/>
    </row>
    <row r="629" spans="27:30" ht="15">
      <c r="AA629"/>
      <c r="AB629"/>
      <c r="AC629"/>
      <c r="AD629"/>
    </row>
    <row r="630" spans="27:30" ht="15">
      <c r="AA630"/>
      <c r="AB630"/>
      <c r="AC630"/>
      <c r="AD630"/>
    </row>
    <row r="631" spans="27:30" ht="15">
      <c r="AA631"/>
      <c r="AB631"/>
      <c r="AC631"/>
      <c r="AD631"/>
    </row>
    <row r="632" spans="27:30" ht="15">
      <c r="AA632"/>
      <c r="AB632"/>
      <c r="AC632"/>
      <c r="AD632"/>
    </row>
    <row r="633" spans="27:30" ht="15">
      <c r="AA633"/>
      <c r="AB633"/>
      <c r="AC633"/>
      <c r="AD633"/>
    </row>
    <row r="634" spans="27:30" ht="15">
      <c r="AA634"/>
      <c r="AB634"/>
      <c r="AC634"/>
      <c r="AD634"/>
    </row>
    <row r="635" spans="27:30" ht="15">
      <c r="AA635"/>
      <c r="AB635"/>
      <c r="AC635"/>
      <c r="AD635"/>
    </row>
    <row r="636" spans="27:30" ht="15">
      <c r="AA636"/>
      <c r="AB636"/>
      <c r="AC636"/>
      <c r="AD636"/>
    </row>
    <row r="637" spans="27:30" ht="15">
      <c r="AA637"/>
      <c r="AB637"/>
      <c r="AC637"/>
      <c r="AD637"/>
    </row>
    <row r="638" spans="27:30" ht="15">
      <c r="AA638"/>
      <c r="AB638"/>
      <c r="AC638"/>
      <c r="AD638"/>
    </row>
    <row r="639" spans="27:30" ht="15">
      <c r="AA639"/>
      <c r="AB639"/>
      <c r="AC639"/>
      <c r="AD639"/>
    </row>
    <row r="640" spans="27:30" ht="15">
      <c r="AA640"/>
      <c r="AB640"/>
      <c r="AC640"/>
      <c r="AD640"/>
    </row>
    <row r="641" spans="27:30" ht="15">
      <c r="AA641"/>
      <c r="AB641"/>
      <c r="AC641"/>
      <c r="AD641"/>
    </row>
    <row r="642" spans="27:30" ht="15">
      <c r="AA642"/>
      <c r="AB642"/>
      <c r="AC642"/>
      <c r="AD642"/>
    </row>
    <row r="643" spans="27:30" ht="15">
      <c r="AA643"/>
      <c r="AB643"/>
      <c r="AC643"/>
      <c r="AD643"/>
    </row>
    <row r="644" spans="27:30" ht="15">
      <c r="AA644"/>
      <c r="AB644"/>
      <c r="AC644"/>
      <c r="AD644"/>
    </row>
    <row r="645" spans="27:30" ht="15">
      <c r="AA645"/>
      <c r="AB645"/>
      <c r="AC645"/>
      <c r="AD645"/>
    </row>
    <row r="646" spans="27:30" ht="15">
      <c r="AA646"/>
      <c r="AB646"/>
      <c r="AC646"/>
      <c r="AD646"/>
    </row>
    <row r="647" spans="27:30" ht="15">
      <c r="AA647"/>
      <c r="AB647"/>
      <c r="AC647"/>
      <c r="AD647"/>
    </row>
    <row r="648" spans="27:30" ht="15">
      <c r="AA648"/>
      <c r="AB648"/>
      <c r="AC648"/>
      <c r="AD648"/>
    </row>
    <row r="649" spans="27:30" ht="15">
      <c r="AA649"/>
      <c r="AB649"/>
      <c r="AC649"/>
      <c r="AD649"/>
    </row>
    <row r="650" spans="27:30" ht="15">
      <c r="AA650"/>
      <c r="AB650"/>
      <c r="AC650"/>
      <c r="AD650"/>
    </row>
    <row r="651" spans="27:30" ht="15">
      <c r="AA651"/>
      <c r="AB651"/>
      <c r="AC651"/>
      <c r="AD651"/>
    </row>
    <row r="652" spans="27:30" ht="15">
      <c r="AA652"/>
      <c r="AB652"/>
      <c r="AC652"/>
      <c r="AD652"/>
    </row>
    <row r="653" spans="27:30" ht="15">
      <c r="AA653"/>
      <c r="AB653"/>
      <c r="AC653"/>
      <c r="AD653"/>
    </row>
    <row r="654" spans="27:30" ht="15">
      <c r="AA654"/>
      <c r="AB654"/>
      <c r="AC654"/>
      <c r="AD654"/>
    </row>
    <row r="655" spans="27:30" ht="15">
      <c r="AA655"/>
      <c r="AB655"/>
      <c r="AC655"/>
      <c r="AD655"/>
    </row>
    <row r="656" spans="27:30" ht="15">
      <c r="AA656"/>
      <c r="AB656"/>
      <c r="AC656"/>
      <c r="AD656"/>
    </row>
    <row r="657" spans="27:30" ht="15">
      <c r="AA657"/>
      <c r="AB657"/>
      <c r="AC657"/>
      <c r="AD657"/>
    </row>
    <row r="658" spans="27:30" ht="15">
      <c r="AA658"/>
      <c r="AB658"/>
      <c r="AC658"/>
      <c r="AD658"/>
    </row>
    <row r="659" spans="27:30" ht="15">
      <c r="AA659"/>
      <c r="AB659"/>
      <c r="AC659"/>
      <c r="AD659"/>
    </row>
    <row r="660" spans="27:30" ht="15">
      <c r="AA660"/>
      <c r="AB660"/>
      <c r="AC660"/>
      <c r="AD660"/>
    </row>
    <row r="661" spans="27:30" ht="15">
      <c r="AA661"/>
      <c r="AB661"/>
      <c r="AC661"/>
      <c r="AD661"/>
    </row>
    <row r="662" spans="27:30" ht="15">
      <c r="AA662"/>
      <c r="AB662"/>
      <c r="AC662"/>
      <c r="AD662"/>
    </row>
    <row r="663" spans="27:30" ht="15">
      <c r="AA663"/>
      <c r="AB663"/>
      <c r="AC663"/>
      <c r="AD663"/>
    </row>
    <row r="664" spans="27:30" ht="15">
      <c r="AA664"/>
      <c r="AB664"/>
      <c r="AC664"/>
      <c r="AD664"/>
    </row>
    <row r="665" spans="27:30" ht="15">
      <c r="AA665"/>
      <c r="AB665"/>
      <c r="AC665"/>
      <c r="AD665"/>
    </row>
    <row r="666" spans="27:30" ht="15">
      <c r="AA666"/>
      <c r="AB666"/>
      <c r="AC666"/>
      <c r="AD666"/>
    </row>
    <row r="667" spans="27:30" ht="15">
      <c r="AA667"/>
      <c r="AB667"/>
      <c r="AC667"/>
      <c r="AD667"/>
    </row>
    <row r="668" spans="27:30" ht="15">
      <c r="AA668"/>
      <c r="AB668"/>
      <c r="AC668"/>
      <c r="AD668"/>
    </row>
    <row r="669" spans="27:30" ht="15">
      <c r="AA669"/>
      <c r="AB669"/>
      <c r="AC669"/>
      <c r="AD669"/>
    </row>
    <row r="670" spans="27:30" ht="15">
      <c r="AA670"/>
      <c r="AB670"/>
      <c r="AC670"/>
      <c r="AD670"/>
    </row>
    <row r="671" spans="27:30" ht="15">
      <c r="AA671"/>
      <c r="AB671"/>
      <c r="AC671"/>
      <c r="AD671"/>
    </row>
    <row r="672" spans="27:30" ht="15">
      <c r="AA672"/>
      <c r="AB672"/>
      <c r="AC672"/>
      <c r="AD672"/>
    </row>
    <row r="673" spans="27:30" ht="15">
      <c r="AA673"/>
      <c r="AB673"/>
      <c r="AC673"/>
      <c r="AD673"/>
    </row>
    <row r="674" spans="27:30" ht="15">
      <c r="AA674"/>
      <c r="AB674"/>
      <c r="AC674"/>
      <c r="AD674"/>
    </row>
    <row r="675" spans="27:30" ht="15">
      <c r="AA675"/>
      <c r="AB675"/>
      <c r="AC675"/>
      <c r="AD675"/>
    </row>
    <row r="676" spans="27:30" ht="15">
      <c r="AA676"/>
      <c r="AB676"/>
      <c r="AC676"/>
      <c r="AD676"/>
    </row>
    <row r="677" spans="27:30" ht="15">
      <c r="AA677"/>
      <c r="AB677"/>
      <c r="AC677"/>
      <c r="AD677"/>
    </row>
    <row r="678" spans="27:30" ht="15">
      <c r="AA678"/>
      <c r="AB678"/>
      <c r="AC678"/>
      <c r="AD678"/>
    </row>
    <row r="679" spans="27:30" ht="15">
      <c r="AA679"/>
      <c r="AB679"/>
      <c r="AC679"/>
      <c r="AD679"/>
    </row>
    <row r="680" spans="27:30" ht="15">
      <c r="AA680"/>
      <c r="AB680"/>
      <c r="AC680"/>
      <c r="AD680"/>
    </row>
    <row r="681" spans="27:30" ht="15">
      <c r="AA681"/>
      <c r="AB681"/>
      <c r="AC681"/>
      <c r="AD681"/>
    </row>
    <row r="682" spans="27:30" ht="15">
      <c r="AA682"/>
      <c r="AB682"/>
      <c r="AC682"/>
      <c r="AD682"/>
    </row>
    <row r="683" spans="27:30" ht="15">
      <c r="AA683"/>
      <c r="AB683"/>
      <c r="AC683"/>
      <c r="AD683"/>
    </row>
    <row r="684" spans="27:30" ht="15">
      <c r="AA684"/>
      <c r="AB684"/>
      <c r="AC684"/>
      <c r="AD684"/>
    </row>
    <row r="685" spans="27:30" ht="15">
      <c r="AA685"/>
      <c r="AB685"/>
      <c r="AC685"/>
      <c r="AD685"/>
    </row>
    <row r="686" spans="27:30" ht="15">
      <c r="AA686"/>
      <c r="AB686"/>
      <c r="AC686"/>
      <c r="AD686"/>
    </row>
    <row r="687" spans="27:30" ht="15">
      <c r="AA687"/>
      <c r="AB687"/>
      <c r="AC687"/>
      <c r="AD687"/>
    </row>
    <row r="688" spans="27:30" ht="15">
      <c r="AA688"/>
      <c r="AB688"/>
      <c r="AC688"/>
      <c r="AD688"/>
    </row>
    <row r="689" spans="27:30" ht="15">
      <c r="AA689"/>
      <c r="AB689"/>
      <c r="AC689"/>
      <c r="AD689"/>
    </row>
    <row r="690" spans="27:30" ht="15">
      <c r="AA690"/>
      <c r="AB690"/>
      <c r="AC690"/>
      <c r="AD690"/>
    </row>
    <row r="691" spans="27:30" ht="15">
      <c r="AA691"/>
      <c r="AB691"/>
      <c r="AC691"/>
      <c r="AD691"/>
    </row>
    <row r="692" spans="27:30" ht="15">
      <c r="AA692"/>
      <c r="AB692"/>
      <c r="AC692"/>
      <c r="AD692"/>
    </row>
    <row r="693" spans="27:30" ht="15">
      <c r="AA693"/>
      <c r="AB693"/>
      <c r="AC693"/>
      <c r="AD693"/>
    </row>
    <row r="694" spans="27:30" ht="15">
      <c r="AA694"/>
      <c r="AB694"/>
      <c r="AC694"/>
      <c r="AD694"/>
    </row>
    <row r="695" spans="27:30" ht="15">
      <c r="AA695"/>
      <c r="AB695"/>
      <c r="AC695"/>
      <c r="AD695"/>
    </row>
    <row r="696" spans="27:30" ht="15">
      <c r="AA696"/>
      <c r="AB696"/>
      <c r="AC696"/>
      <c r="AD696"/>
    </row>
    <row r="697" spans="27:30" ht="15">
      <c r="AA697"/>
      <c r="AB697"/>
      <c r="AC697"/>
      <c r="AD697"/>
    </row>
    <row r="698" spans="27:30" ht="15">
      <c r="AA698"/>
      <c r="AB698"/>
      <c r="AC698"/>
      <c r="AD698"/>
    </row>
    <row r="699" spans="27:30" ht="15">
      <c r="AA699"/>
      <c r="AB699"/>
      <c r="AC699"/>
      <c r="AD699"/>
    </row>
    <row r="700" spans="27:30" ht="15">
      <c r="AA700"/>
      <c r="AB700"/>
      <c r="AC700"/>
      <c r="AD700"/>
    </row>
    <row r="701" spans="27:30" ht="15">
      <c r="AA701"/>
      <c r="AB701"/>
      <c r="AC701"/>
      <c r="AD701"/>
    </row>
    <row r="702" spans="27:30" ht="15">
      <c r="AA702"/>
      <c r="AB702"/>
      <c r="AC702"/>
      <c r="AD702"/>
    </row>
    <row r="703" spans="27:30" ht="15">
      <c r="AA703"/>
      <c r="AB703"/>
      <c r="AC703"/>
      <c r="AD703"/>
    </row>
    <row r="704" spans="27:30" ht="15">
      <c r="AA704"/>
      <c r="AB704"/>
      <c r="AC704"/>
      <c r="AD704"/>
    </row>
    <row r="705" spans="27:30" ht="15">
      <c r="AA705"/>
      <c r="AB705"/>
      <c r="AC705"/>
      <c r="AD705"/>
    </row>
    <row r="706" spans="27:30" ht="15">
      <c r="AA706"/>
      <c r="AB706"/>
      <c r="AC706"/>
      <c r="AD706"/>
    </row>
    <row r="707" spans="27:30" ht="15">
      <c r="AA707"/>
      <c r="AB707"/>
      <c r="AC707"/>
      <c r="AD707"/>
    </row>
    <row r="708" spans="27:30" ht="15">
      <c r="AA708"/>
      <c r="AB708"/>
      <c r="AC708"/>
      <c r="AD708"/>
    </row>
    <row r="709" spans="27:30" ht="15">
      <c r="AA709"/>
      <c r="AB709"/>
      <c r="AC709"/>
      <c r="AD709"/>
    </row>
    <row r="710" spans="27:30" ht="15">
      <c r="AA710"/>
      <c r="AB710"/>
      <c r="AC710"/>
      <c r="AD710"/>
    </row>
    <row r="711" spans="27:30" ht="15">
      <c r="AA711"/>
      <c r="AB711"/>
      <c r="AC711"/>
      <c r="AD711"/>
    </row>
    <row r="712" spans="27:30" ht="15">
      <c r="AA712"/>
      <c r="AB712"/>
      <c r="AC712"/>
      <c r="AD712"/>
    </row>
    <row r="713" spans="27:30" ht="15">
      <c r="AA713"/>
      <c r="AB713"/>
      <c r="AC713"/>
      <c r="AD713"/>
    </row>
    <row r="714" spans="27:30" ht="15">
      <c r="AA714"/>
      <c r="AB714"/>
      <c r="AC714"/>
      <c r="AD714"/>
    </row>
    <row r="715" spans="27:30" ht="15">
      <c r="AA715"/>
      <c r="AB715"/>
      <c r="AC715"/>
      <c r="AD715"/>
    </row>
    <row r="716" spans="27:30" ht="15">
      <c r="AA716"/>
      <c r="AB716"/>
      <c r="AC716"/>
      <c r="AD716"/>
    </row>
    <row r="717" spans="27:30" ht="15">
      <c r="AA717"/>
      <c r="AB717"/>
      <c r="AC717"/>
      <c r="AD717"/>
    </row>
    <row r="718" spans="27:30" ht="15">
      <c r="AA718"/>
      <c r="AB718"/>
      <c r="AC718"/>
      <c r="AD718"/>
    </row>
    <row r="719" spans="27:30" ht="15">
      <c r="AA719"/>
      <c r="AB719"/>
      <c r="AC719"/>
      <c r="AD719"/>
    </row>
    <row r="720" spans="27:30" ht="15">
      <c r="AA720"/>
      <c r="AB720"/>
      <c r="AC720"/>
      <c r="AD720"/>
    </row>
    <row r="721" spans="27:30" ht="15">
      <c r="AA721"/>
      <c r="AB721"/>
      <c r="AC721"/>
      <c r="AD721"/>
    </row>
    <row r="722" spans="27:30" ht="15">
      <c r="AA722"/>
      <c r="AB722"/>
      <c r="AC722"/>
      <c r="AD722"/>
    </row>
    <row r="723" spans="27:30" ht="15">
      <c r="AA723"/>
      <c r="AB723"/>
      <c r="AC723"/>
      <c r="AD723"/>
    </row>
    <row r="724" spans="27:30" ht="15">
      <c r="AA724"/>
      <c r="AB724"/>
      <c r="AC724"/>
      <c r="AD724"/>
    </row>
    <row r="725" spans="27:30" ht="15">
      <c r="AA725"/>
      <c r="AB725"/>
      <c r="AC725"/>
      <c r="AD725"/>
    </row>
    <row r="726" spans="27:30" ht="15">
      <c r="AA726"/>
      <c r="AB726"/>
      <c r="AC726"/>
      <c r="AD726"/>
    </row>
    <row r="727" spans="27:30" ht="15">
      <c r="AA727"/>
      <c r="AB727"/>
      <c r="AC727"/>
      <c r="AD727"/>
    </row>
    <row r="728" spans="27:30" ht="15">
      <c r="AA728"/>
      <c r="AB728"/>
      <c r="AC728"/>
      <c r="AD728"/>
    </row>
    <row r="729" spans="27:30" ht="15">
      <c r="AA729"/>
      <c r="AB729"/>
      <c r="AC729"/>
      <c r="AD729"/>
    </row>
    <row r="730" spans="27:30" ht="15">
      <c r="AA730"/>
      <c r="AB730"/>
      <c r="AC730"/>
      <c r="AD730"/>
    </row>
    <row r="731" spans="27:30" ht="15">
      <c r="AA731"/>
      <c r="AB731"/>
      <c r="AC731"/>
      <c r="AD731"/>
    </row>
    <row r="732" spans="27:30" ht="15">
      <c r="AA732"/>
      <c r="AB732"/>
      <c r="AC732"/>
      <c r="AD732"/>
    </row>
    <row r="733" spans="27:30" ht="15">
      <c r="AA733"/>
      <c r="AB733"/>
      <c r="AC733"/>
      <c r="AD733"/>
    </row>
    <row r="734" spans="27:30" ht="15">
      <c r="AA734"/>
      <c r="AB734"/>
      <c r="AC734"/>
      <c r="AD734"/>
    </row>
    <row r="735" spans="27:30" ht="15">
      <c r="AA735"/>
      <c r="AB735"/>
      <c r="AC735"/>
      <c r="AD735"/>
    </row>
    <row r="736" spans="27:30" ht="15">
      <c r="AA736"/>
      <c r="AB736"/>
      <c r="AC736"/>
      <c r="AD736"/>
    </row>
    <row r="737" spans="27:30" ht="15">
      <c r="AA737"/>
      <c r="AB737"/>
      <c r="AC737"/>
      <c r="AD737"/>
    </row>
    <row r="738" spans="27:30" ht="15">
      <c r="AA738"/>
      <c r="AB738"/>
      <c r="AC738"/>
      <c r="AD738"/>
    </row>
    <row r="739" spans="27:30" ht="15">
      <c r="AA739"/>
      <c r="AB739"/>
      <c r="AC739"/>
      <c r="AD739"/>
    </row>
    <row r="740" spans="27:30" ht="15">
      <c r="AA740"/>
      <c r="AB740"/>
      <c r="AC740"/>
      <c r="AD740"/>
    </row>
    <row r="741" spans="27:30" ht="15">
      <c r="AA741"/>
      <c r="AB741"/>
      <c r="AC741"/>
      <c r="AD741"/>
    </row>
    <row r="742" spans="27:30" ht="15">
      <c r="AA742"/>
      <c r="AB742"/>
      <c r="AC742"/>
      <c r="AD742"/>
    </row>
    <row r="743" spans="27:30" ht="15">
      <c r="AA743"/>
      <c r="AB743"/>
      <c r="AC743"/>
      <c r="AD743"/>
    </row>
    <row r="744" spans="27:30" ht="15">
      <c r="AA744"/>
      <c r="AB744"/>
      <c r="AC744"/>
      <c r="AD744"/>
    </row>
    <row r="745" spans="27:30" ht="15">
      <c r="AA745"/>
      <c r="AB745"/>
      <c r="AC745"/>
      <c r="AD745"/>
    </row>
    <row r="746" spans="27:30" ht="15">
      <c r="AA746"/>
      <c r="AB746"/>
      <c r="AC746"/>
      <c r="AD746"/>
    </row>
    <row r="747" spans="27:30" ht="15">
      <c r="AA747"/>
      <c r="AB747"/>
      <c r="AC747"/>
      <c r="AD747"/>
    </row>
    <row r="748" spans="27:30" ht="15">
      <c r="AA748"/>
      <c r="AB748"/>
      <c r="AC748"/>
      <c r="AD748"/>
    </row>
    <row r="749" spans="27:30" ht="15">
      <c r="AA749"/>
      <c r="AB749"/>
      <c r="AC749"/>
      <c r="AD749"/>
    </row>
    <row r="750" spans="27:30" ht="15">
      <c r="AA750"/>
      <c r="AB750"/>
      <c r="AC750"/>
      <c r="AD750"/>
    </row>
    <row r="751" spans="27:30" ht="15">
      <c r="AA751"/>
      <c r="AB751"/>
      <c r="AC751"/>
      <c r="AD751"/>
    </row>
    <row r="752" spans="27:30" ht="15">
      <c r="AA752"/>
      <c r="AB752"/>
      <c r="AC752"/>
      <c r="AD752"/>
    </row>
    <row r="753" spans="27:30" ht="15">
      <c r="AA753"/>
      <c r="AB753"/>
      <c r="AC753"/>
      <c r="AD753"/>
    </row>
    <row r="754" spans="27:30" ht="15">
      <c r="AA754"/>
      <c r="AB754"/>
      <c r="AC754"/>
      <c r="AD754"/>
    </row>
    <row r="755" spans="27:30" ht="15">
      <c r="AA755"/>
      <c r="AB755"/>
      <c r="AC755"/>
      <c r="AD755"/>
    </row>
    <row r="756" spans="27:30" ht="15">
      <c r="AA756"/>
      <c r="AB756"/>
      <c r="AC756"/>
      <c r="AD756"/>
    </row>
    <row r="757" spans="27:30" ht="15">
      <c r="AA757"/>
      <c r="AB757"/>
      <c r="AC757"/>
      <c r="AD757"/>
    </row>
    <row r="758" spans="27:30" ht="15">
      <c r="AA758"/>
      <c r="AB758"/>
      <c r="AC758"/>
      <c r="AD758"/>
    </row>
    <row r="759" spans="27:30" ht="15">
      <c r="AA759"/>
      <c r="AB759"/>
      <c r="AC759"/>
      <c r="AD759"/>
    </row>
    <row r="760" spans="27:30" ht="15">
      <c r="AA760"/>
      <c r="AB760"/>
      <c r="AC760"/>
      <c r="AD760"/>
    </row>
    <row r="761" spans="27:30" ht="15">
      <c r="AA761"/>
      <c r="AB761"/>
      <c r="AC761"/>
      <c r="AD761"/>
    </row>
    <row r="762" spans="27:30" ht="15">
      <c r="AA762"/>
      <c r="AB762"/>
      <c r="AC762"/>
      <c r="AD762"/>
    </row>
    <row r="763" spans="27:30" ht="15">
      <c r="AA763"/>
      <c r="AB763"/>
      <c r="AC763"/>
      <c r="AD763"/>
    </row>
    <row r="764" spans="27:30" ht="15">
      <c r="AA764"/>
      <c r="AB764"/>
      <c r="AC764"/>
      <c r="AD764"/>
    </row>
    <row r="765" spans="27:30" ht="15">
      <c r="AA765"/>
      <c r="AB765"/>
      <c r="AC765"/>
      <c r="AD765"/>
    </row>
    <row r="766" spans="27:30" ht="15">
      <c r="AA766"/>
      <c r="AB766"/>
      <c r="AC766"/>
      <c r="AD766"/>
    </row>
    <row r="767" spans="27:30" ht="15">
      <c r="AA767"/>
      <c r="AB767"/>
      <c r="AC767"/>
      <c r="AD767"/>
    </row>
    <row r="768" spans="27:30" ht="15">
      <c r="AA768"/>
      <c r="AB768"/>
      <c r="AC768"/>
      <c r="AD768"/>
    </row>
    <row r="769" spans="27:30" ht="15">
      <c r="AA769"/>
      <c r="AB769"/>
      <c r="AC769"/>
      <c r="AD769"/>
    </row>
    <row r="770" spans="27:30" ht="15">
      <c r="AA770"/>
      <c r="AB770"/>
      <c r="AC770"/>
      <c r="AD770"/>
    </row>
    <row r="771" spans="27:30" ht="15">
      <c r="AA771"/>
      <c r="AB771"/>
      <c r="AC771"/>
      <c r="AD771"/>
    </row>
    <row r="772" spans="27:30" ht="15">
      <c r="AA772"/>
      <c r="AB772"/>
      <c r="AC772"/>
      <c r="AD772"/>
    </row>
    <row r="773" spans="27:30" ht="15">
      <c r="AA773"/>
      <c r="AB773"/>
      <c r="AC773"/>
      <c r="AD773"/>
    </row>
    <row r="774" spans="27:30" ht="15">
      <c r="AA774"/>
      <c r="AB774"/>
      <c r="AC774"/>
      <c r="AD774"/>
    </row>
    <row r="775" spans="27:30" ht="15">
      <c r="AA775"/>
      <c r="AB775"/>
      <c r="AC775"/>
      <c r="AD775"/>
    </row>
    <row r="776" spans="27:30" ht="15">
      <c r="AA776"/>
      <c r="AB776"/>
      <c r="AC776"/>
      <c r="AD776"/>
    </row>
    <row r="777" spans="27:30" ht="15">
      <c r="AA777"/>
      <c r="AB777"/>
      <c r="AC777"/>
      <c r="AD777"/>
    </row>
    <row r="778" spans="27:30" ht="15">
      <c r="AA778"/>
      <c r="AB778"/>
      <c r="AC778"/>
      <c r="AD778"/>
    </row>
    <row r="779" spans="27:30" ht="15">
      <c r="AA779"/>
      <c r="AB779"/>
      <c r="AC779"/>
      <c r="AD779"/>
    </row>
    <row r="780" spans="27:30" ht="15">
      <c r="AA780"/>
      <c r="AB780"/>
      <c r="AC780"/>
      <c r="AD780"/>
    </row>
    <row r="781" spans="27:30" ht="15">
      <c r="AA781"/>
      <c r="AB781"/>
      <c r="AC781"/>
      <c r="AD781"/>
    </row>
    <row r="782" spans="27:30" ht="15">
      <c r="AA782"/>
      <c r="AB782"/>
      <c r="AC782"/>
      <c r="AD782"/>
    </row>
    <row r="783" spans="27:30" ht="15">
      <c r="AA783"/>
      <c r="AB783"/>
      <c r="AC783"/>
      <c r="AD783"/>
    </row>
    <row r="784" spans="27:30" ht="15">
      <c r="AA784"/>
      <c r="AB784"/>
      <c r="AC784"/>
      <c r="AD784"/>
    </row>
    <row r="785" spans="27:30" ht="15">
      <c r="AA785"/>
      <c r="AB785"/>
      <c r="AC785"/>
      <c r="AD785"/>
    </row>
    <row r="786" spans="27:30" ht="15">
      <c r="AA786"/>
      <c r="AB786"/>
      <c r="AC786"/>
      <c r="AD786"/>
    </row>
    <row r="787" spans="27:30" ht="15">
      <c r="AA787"/>
      <c r="AB787"/>
      <c r="AC787"/>
      <c r="AD787"/>
    </row>
    <row r="788" spans="27:30" ht="15">
      <c r="AA788"/>
      <c r="AB788"/>
      <c r="AC788"/>
      <c r="AD788"/>
    </row>
    <row r="789" spans="27:30" ht="15">
      <c r="AA789"/>
      <c r="AB789"/>
      <c r="AC789"/>
      <c r="AD789"/>
    </row>
    <row r="790" spans="27:30" ht="15">
      <c r="AA790"/>
      <c r="AB790"/>
      <c r="AC790"/>
      <c r="AD790"/>
    </row>
    <row r="791" spans="27:30" ht="15">
      <c r="AA791"/>
      <c r="AB791"/>
      <c r="AC791"/>
      <c r="AD791"/>
    </row>
    <row r="792" spans="27:30" ht="15">
      <c r="AA792"/>
      <c r="AB792"/>
      <c r="AC792"/>
      <c r="AD792"/>
    </row>
    <row r="793" spans="27:30" ht="15">
      <c r="AA793"/>
      <c r="AB793"/>
      <c r="AC793"/>
      <c r="AD793"/>
    </row>
    <row r="794" spans="27:30" ht="15">
      <c r="AA794"/>
      <c r="AB794"/>
      <c r="AC794"/>
      <c r="AD794"/>
    </row>
    <row r="795" spans="27:30" ht="15">
      <c r="AA795"/>
      <c r="AB795"/>
      <c r="AC795"/>
      <c r="AD795"/>
    </row>
    <row r="796" spans="27:30" ht="15">
      <c r="AA796"/>
      <c r="AB796"/>
      <c r="AC796"/>
      <c r="AD796"/>
    </row>
    <row r="797" spans="27:30" ht="15">
      <c r="AA797"/>
      <c r="AB797"/>
      <c r="AC797"/>
      <c r="AD797"/>
    </row>
    <row r="798" spans="27:30" ht="15">
      <c r="AA798"/>
      <c r="AB798"/>
      <c r="AC798"/>
      <c r="AD798"/>
    </row>
    <row r="799" spans="27:30" ht="15">
      <c r="AA799"/>
      <c r="AB799"/>
      <c r="AC799"/>
      <c r="AD799"/>
    </row>
    <row r="800" spans="27:30" ht="15">
      <c r="AA800"/>
      <c r="AB800"/>
      <c r="AC800"/>
      <c r="AD800"/>
    </row>
    <row r="801" spans="27:30" ht="15">
      <c r="AA801"/>
      <c r="AB801"/>
      <c r="AC801"/>
      <c r="AD801"/>
    </row>
    <row r="802" spans="27:30" ht="15">
      <c r="AA802"/>
      <c r="AB802"/>
      <c r="AC802"/>
      <c r="AD802"/>
    </row>
    <row r="803" spans="27:30" ht="15">
      <c r="AA803"/>
      <c r="AB803"/>
      <c r="AC803"/>
      <c r="AD803"/>
    </row>
    <row r="804" spans="27:30" ht="15">
      <c r="AA804"/>
      <c r="AB804"/>
      <c r="AC804"/>
      <c r="AD804"/>
    </row>
    <row r="805" spans="27:30" ht="15">
      <c r="AA805"/>
      <c r="AB805"/>
      <c r="AC805"/>
      <c r="AD805"/>
    </row>
    <row r="806" spans="27:30" ht="15">
      <c r="AA806"/>
      <c r="AB806"/>
      <c r="AC806"/>
      <c r="AD806"/>
    </row>
    <row r="807" spans="27:30" ht="15">
      <c r="AA807"/>
      <c r="AB807"/>
      <c r="AC807"/>
      <c r="AD807"/>
    </row>
    <row r="808" spans="27:30" ht="15">
      <c r="AA808"/>
      <c r="AB808"/>
      <c r="AC808"/>
      <c r="AD808"/>
    </row>
    <row r="809" spans="27:30" ht="15">
      <c r="AA809"/>
      <c r="AB809"/>
      <c r="AC809"/>
      <c r="AD809"/>
    </row>
    <row r="810" spans="27:30" ht="15">
      <c r="AA810"/>
      <c r="AB810"/>
      <c r="AC810"/>
      <c r="AD810"/>
    </row>
    <row r="811" spans="27:30" ht="15">
      <c r="AA811"/>
      <c r="AB811"/>
      <c r="AC811"/>
      <c r="AD811"/>
    </row>
    <row r="812" spans="27:30" ht="15">
      <c r="AA812"/>
      <c r="AB812"/>
      <c r="AC812"/>
      <c r="AD812"/>
    </row>
    <row r="813" spans="27:30" ht="15">
      <c r="AA813"/>
      <c r="AB813"/>
      <c r="AC813"/>
      <c r="AD813"/>
    </row>
    <row r="814" spans="27:30" ht="15">
      <c r="AA814"/>
      <c r="AB814"/>
      <c r="AC814"/>
      <c r="AD814"/>
    </row>
    <row r="815" spans="27:30" ht="15">
      <c r="AA815"/>
      <c r="AB815"/>
      <c r="AC815"/>
      <c r="AD815"/>
    </row>
    <row r="816" spans="27:30" ht="15">
      <c r="AA816"/>
      <c r="AB816"/>
      <c r="AC816"/>
      <c r="AD816"/>
    </row>
    <row r="817" spans="27:30" ht="15">
      <c r="AA817"/>
      <c r="AB817"/>
      <c r="AC817"/>
      <c r="AD817"/>
    </row>
    <row r="818" spans="27:30" ht="15">
      <c r="AA818"/>
      <c r="AB818"/>
      <c r="AC818"/>
      <c r="AD818"/>
    </row>
    <row r="819" spans="27:30" ht="15">
      <c r="AA819"/>
      <c r="AB819"/>
      <c r="AC819"/>
      <c r="AD819"/>
    </row>
    <row r="820" spans="27:30" ht="15">
      <c r="AA820"/>
      <c r="AB820"/>
      <c r="AC820"/>
      <c r="AD820"/>
    </row>
    <row r="821" spans="27:30" ht="15">
      <c r="AA821"/>
      <c r="AB821"/>
      <c r="AC821"/>
      <c r="AD821"/>
    </row>
    <row r="822" spans="27:30" ht="15">
      <c r="AA822"/>
      <c r="AB822"/>
      <c r="AC822"/>
      <c r="AD822"/>
    </row>
    <row r="823" spans="27:30" ht="15">
      <c r="AA823"/>
      <c r="AB823"/>
      <c r="AC823"/>
      <c r="AD823"/>
    </row>
    <row r="824" spans="27:30" ht="15">
      <c r="AA824"/>
      <c r="AB824"/>
      <c r="AC824"/>
      <c r="AD824"/>
    </row>
    <row r="825" spans="27:30" ht="15">
      <c r="AA825"/>
      <c r="AB825"/>
      <c r="AC825"/>
      <c r="AD825"/>
    </row>
    <row r="826" spans="27:30" ht="15">
      <c r="AA826"/>
      <c r="AB826"/>
      <c r="AC826"/>
      <c r="AD826"/>
    </row>
    <row r="827" spans="27:30" ht="15">
      <c r="AA827"/>
      <c r="AB827"/>
      <c r="AC827"/>
      <c r="AD827"/>
    </row>
    <row r="828" spans="27:30" ht="15">
      <c r="AA828"/>
      <c r="AB828"/>
      <c r="AC828"/>
      <c r="AD828"/>
    </row>
    <row r="829" spans="27:30" ht="15">
      <c r="AA829"/>
      <c r="AB829"/>
      <c r="AC829"/>
      <c r="AD829"/>
    </row>
    <row r="830" spans="27:30" ht="15">
      <c r="AA830"/>
      <c r="AB830"/>
      <c r="AC830"/>
      <c r="AD830"/>
    </row>
    <row r="831" spans="27:30" ht="15">
      <c r="AA831"/>
      <c r="AB831"/>
      <c r="AC831"/>
      <c r="AD831"/>
    </row>
    <row r="832" spans="27:30" ht="15">
      <c r="AA832"/>
      <c r="AB832"/>
      <c r="AC832"/>
      <c r="AD832"/>
    </row>
    <row r="833" spans="27:30" ht="15">
      <c r="AA833"/>
      <c r="AB833"/>
      <c r="AC833"/>
      <c r="AD833"/>
    </row>
    <row r="834" spans="27:30" ht="15">
      <c r="AA834"/>
      <c r="AB834"/>
      <c r="AC834"/>
      <c r="AD834"/>
    </row>
    <row r="835" spans="27:30" ht="15">
      <c r="AA835"/>
      <c r="AB835"/>
      <c r="AC835"/>
      <c r="AD835"/>
    </row>
    <row r="836" spans="27:30" ht="15">
      <c r="AA836"/>
      <c r="AB836"/>
      <c r="AC836"/>
      <c r="AD836"/>
    </row>
    <row r="837" spans="27:30" ht="15">
      <c r="AA837"/>
      <c r="AB837"/>
      <c r="AC837"/>
      <c r="AD837"/>
    </row>
    <row r="838" spans="27:30" ht="15">
      <c r="AA838"/>
      <c r="AB838"/>
      <c r="AC838"/>
      <c r="AD838"/>
    </row>
    <row r="839" spans="27:30" ht="15">
      <c r="AA839"/>
      <c r="AB839"/>
      <c r="AC839"/>
      <c r="AD839"/>
    </row>
    <row r="840" spans="27:30" ht="15">
      <c r="AA840"/>
      <c r="AB840"/>
      <c r="AC840"/>
      <c r="AD840"/>
    </row>
    <row r="841" spans="27:30" ht="15">
      <c r="AA841"/>
      <c r="AB841"/>
      <c r="AC841"/>
      <c r="AD841"/>
    </row>
    <row r="842" spans="27:30" ht="15">
      <c r="AA842"/>
      <c r="AB842"/>
      <c r="AC842"/>
      <c r="AD842"/>
    </row>
    <row r="843" spans="27:30" ht="15">
      <c r="AA843"/>
      <c r="AB843"/>
      <c r="AC843"/>
      <c r="AD843"/>
    </row>
    <row r="844" spans="27:30" ht="15">
      <c r="AA844"/>
      <c r="AB844"/>
      <c r="AC844"/>
      <c r="AD844"/>
    </row>
    <row r="845" spans="27:30" ht="15">
      <c r="AA845"/>
      <c r="AB845"/>
      <c r="AC845"/>
      <c r="AD845"/>
    </row>
    <row r="846" spans="27:30" ht="15">
      <c r="AA846"/>
      <c r="AB846"/>
      <c r="AC846"/>
      <c r="AD846"/>
    </row>
    <row r="847" spans="27:30" ht="15">
      <c r="AA847"/>
      <c r="AB847"/>
      <c r="AC847"/>
      <c r="AD847"/>
    </row>
    <row r="848" spans="27:30" ht="15">
      <c r="AA848"/>
      <c r="AB848"/>
      <c r="AC848"/>
      <c r="AD848"/>
    </row>
    <row r="849" spans="27:30" ht="15">
      <c r="AA849"/>
      <c r="AB849"/>
      <c r="AC849"/>
      <c r="AD849"/>
    </row>
    <row r="850" spans="27:30" ht="15">
      <c r="AA850"/>
      <c r="AB850"/>
      <c r="AC850"/>
      <c r="AD850"/>
    </row>
    <row r="851" spans="27:30" ht="15">
      <c r="AA851"/>
      <c r="AB851"/>
      <c r="AC851"/>
      <c r="AD851"/>
    </row>
    <row r="852" spans="27:30" ht="15">
      <c r="AA852"/>
      <c r="AB852"/>
      <c r="AC852"/>
      <c r="AD852"/>
    </row>
    <row r="853" spans="27:30" ht="15">
      <c r="AA853"/>
      <c r="AB853"/>
      <c r="AC853"/>
      <c r="AD853"/>
    </row>
    <row r="854" spans="27:30" ht="15">
      <c r="AA854"/>
      <c r="AB854"/>
      <c r="AC854"/>
      <c r="AD854"/>
    </row>
    <row r="855" spans="27:30" ht="15">
      <c r="AA855"/>
      <c r="AB855"/>
      <c r="AC855"/>
      <c r="AD855"/>
    </row>
    <row r="856" spans="27:30" ht="15">
      <c r="AA856"/>
      <c r="AB856"/>
      <c r="AC856"/>
      <c r="AD856"/>
    </row>
    <row r="857" spans="27:30" ht="15">
      <c r="AA857"/>
      <c r="AB857"/>
      <c r="AC857"/>
      <c r="AD857"/>
    </row>
    <row r="858" spans="27:30" ht="15">
      <c r="AA858"/>
      <c r="AB858"/>
      <c r="AC858"/>
      <c r="AD858"/>
    </row>
    <row r="859" spans="27:30" ht="15">
      <c r="AA859"/>
      <c r="AB859"/>
      <c r="AC859"/>
      <c r="AD859"/>
    </row>
    <row r="860" spans="27:30" ht="15">
      <c r="AA860"/>
      <c r="AB860"/>
      <c r="AC860"/>
      <c r="AD860"/>
    </row>
    <row r="861" spans="27:30" ht="15">
      <c r="AA861"/>
      <c r="AB861"/>
      <c r="AC861"/>
      <c r="AD861"/>
    </row>
    <row r="862" spans="27:30" ht="15">
      <c r="AA862"/>
      <c r="AB862"/>
      <c r="AC862"/>
      <c r="AD862"/>
    </row>
    <row r="863" spans="27:30" ht="15">
      <c r="AA863"/>
      <c r="AB863"/>
      <c r="AC863"/>
      <c r="AD863"/>
    </row>
    <row r="864" spans="27:30" ht="15">
      <c r="AA864"/>
      <c r="AB864"/>
      <c r="AC864"/>
      <c r="AD864"/>
    </row>
    <row r="865" spans="27:30" ht="15">
      <c r="AA865"/>
      <c r="AB865"/>
      <c r="AC865"/>
      <c r="AD865"/>
    </row>
    <row r="866" spans="27:30" ht="15">
      <c r="AA866"/>
      <c r="AB866"/>
      <c r="AC866"/>
      <c r="AD866"/>
    </row>
    <row r="867" spans="27:30" ht="15">
      <c r="AA867"/>
      <c r="AB867"/>
      <c r="AC867"/>
      <c r="AD867"/>
    </row>
    <row r="868" spans="27:30" ht="15">
      <c r="AA868"/>
      <c r="AB868"/>
      <c r="AC868"/>
      <c r="AD868"/>
    </row>
    <row r="869" spans="27:30" ht="15">
      <c r="AA869"/>
      <c r="AB869"/>
      <c r="AC869"/>
      <c r="AD869"/>
    </row>
    <row r="870" spans="27:30" ht="15">
      <c r="AA870"/>
      <c r="AB870"/>
      <c r="AC870"/>
      <c r="AD870"/>
    </row>
    <row r="871" spans="27:30" ht="15">
      <c r="AA871"/>
      <c r="AB871"/>
      <c r="AC871"/>
      <c r="AD871"/>
    </row>
    <row r="872" spans="27:30" ht="15">
      <c r="AA872"/>
      <c r="AB872"/>
      <c r="AC872"/>
      <c r="AD872"/>
    </row>
    <row r="873" spans="27:30" ht="15">
      <c r="AA873"/>
      <c r="AB873"/>
      <c r="AC873"/>
      <c r="AD873"/>
    </row>
    <row r="874" spans="27:30" ht="15">
      <c r="AA874"/>
      <c r="AB874"/>
      <c r="AC874"/>
      <c r="AD874"/>
    </row>
    <row r="875" spans="27:30" ht="15">
      <c r="AA875"/>
      <c r="AB875"/>
      <c r="AC875"/>
      <c r="AD875"/>
    </row>
    <row r="876" spans="27:30" ht="15">
      <c r="AA876"/>
      <c r="AB876"/>
      <c r="AC876"/>
      <c r="AD876"/>
    </row>
    <row r="877" spans="27:30" ht="15">
      <c r="AA877"/>
      <c r="AB877"/>
      <c r="AC877"/>
      <c r="AD877"/>
    </row>
    <row r="878" spans="27:30" ht="15">
      <c r="AA878"/>
      <c r="AB878"/>
      <c r="AC878"/>
      <c r="AD878"/>
    </row>
    <row r="879" spans="27:30" ht="15">
      <c r="AA879"/>
      <c r="AB879"/>
      <c r="AC879"/>
      <c r="AD879"/>
    </row>
    <row r="880" spans="27:30" ht="15">
      <c r="AA880"/>
      <c r="AB880"/>
      <c r="AC880"/>
      <c r="AD880"/>
    </row>
    <row r="881" spans="27:30" ht="15">
      <c r="AA881"/>
      <c r="AB881"/>
      <c r="AC881"/>
      <c r="AD881"/>
    </row>
    <row r="882" spans="27:30" ht="15">
      <c r="AA882"/>
      <c r="AB882"/>
      <c r="AC882"/>
      <c r="AD882"/>
    </row>
    <row r="883" spans="27:30" ht="15">
      <c r="AA883"/>
      <c r="AB883"/>
      <c r="AC883"/>
      <c r="AD883"/>
    </row>
    <row r="884" spans="27:30" ht="15">
      <c r="AA884"/>
      <c r="AB884"/>
      <c r="AC884"/>
      <c r="AD884"/>
    </row>
    <row r="885" spans="27:30" ht="15">
      <c r="AA885"/>
      <c r="AB885"/>
      <c r="AC885"/>
      <c r="AD885"/>
    </row>
    <row r="886" spans="27:30" ht="15">
      <c r="AA886"/>
      <c r="AB886"/>
      <c r="AC886"/>
      <c r="AD886"/>
    </row>
    <row r="887" spans="27:30" ht="15">
      <c r="AA887"/>
      <c r="AB887"/>
      <c r="AC887"/>
      <c r="AD887"/>
    </row>
    <row r="888" spans="27:30" ht="15">
      <c r="AA888"/>
      <c r="AB888"/>
      <c r="AC888"/>
      <c r="AD888"/>
    </row>
    <row r="889" spans="27:30" ht="15">
      <c r="AA889"/>
      <c r="AB889"/>
      <c r="AC889"/>
      <c r="AD889"/>
    </row>
    <row r="890" spans="27:30" ht="15">
      <c r="AA890"/>
      <c r="AB890"/>
      <c r="AC890"/>
      <c r="AD890"/>
    </row>
    <row r="891" spans="27:30" ht="15">
      <c r="AA891"/>
      <c r="AB891"/>
      <c r="AC891"/>
      <c r="AD891"/>
    </row>
    <row r="892" spans="27:30" ht="15">
      <c r="AA892"/>
      <c r="AB892"/>
      <c r="AC892"/>
      <c r="AD892"/>
    </row>
    <row r="893" spans="27:30" ht="15">
      <c r="AA893"/>
      <c r="AB893"/>
      <c r="AC893"/>
      <c r="AD893"/>
    </row>
    <row r="894" spans="27:30" ht="15">
      <c r="AA894"/>
      <c r="AB894"/>
      <c r="AC894"/>
      <c r="AD894"/>
    </row>
    <row r="895" spans="27:30" ht="15">
      <c r="AA895"/>
      <c r="AB895"/>
      <c r="AC895"/>
      <c r="AD895"/>
    </row>
    <row r="896" spans="27:30" ht="15">
      <c r="AA896"/>
      <c r="AB896"/>
      <c r="AC896"/>
      <c r="AD896"/>
    </row>
    <row r="897" spans="27:30" ht="15">
      <c r="AA897"/>
      <c r="AB897"/>
      <c r="AC897"/>
      <c r="AD897"/>
    </row>
    <row r="898" spans="27:30" ht="15">
      <c r="AA898"/>
      <c r="AB898"/>
      <c r="AC898"/>
      <c r="AD898"/>
    </row>
    <row r="899" spans="27:30" ht="15">
      <c r="AA899"/>
      <c r="AB899"/>
      <c r="AC899"/>
      <c r="AD899"/>
    </row>
    <row r="900" spans="27:30" ht="15">
      <c r="AA900"/>
      <c r="AB900"/>
      <c r="AC900"/>
      <c r="AD900"/>
    </row>
    <row r="901" spans="27:30" ht="15">
      <c r="AA901"/>
      <c r="AB901"/>
      <c r="AC901"/>
      <c r="AD901"/>
    </row>
    <row r="902" spans="27:30" ht="15">
      <c r="AA902"/>
      <c r="AB902"/>
      <c r="AC902"/>
      <c r="AD902"/>
    </row>
    <row r="903" spans="27:30" ht="15">
      <c r="AA903"/>
      <c r="AB903"/>
      <c r="AC903"/>
      <c r="AD903"/>
    </row>
    <row r="904" spans="27:30" ht="15">
      <c r="AA904"/>
      <c r="AB904"/>
      <c r="AC904"/>
      <c r="AD904"/>
    </row>
    <row r="905" spans="27:30" ht="15">
      <c r="AA905"/>
      <c r="AB905"/>
      <c r="AC905"/>
      <c r="AD905"/>
    </row>
    <row r="906" spans="27:30" ht="15">
      <c r="AA906"/>
      <c r="AB906"/>
      <c r="AC906"/>
      <c r="AD906"/>
    </row>
    <row r="907" spans="27:30" ht="15">
      <c r="AA907"/>
      <c r="AB907"/>
      <c r="AC907"/>
      <c r="AD907"/>
    </row>
    <row r="908" spans="27:30" ht="15">
      <c r="AA908"/>
      <c r="AB908"/>
      <c r="AC908"/>
      <c r="AD908"/>
    </row>
    <row r="909" spans="27:30" ht="15">
      <c r="AA909"/>
      <c r="AB909"/>
      <c r="AC909"/>
      <c r="AD909"/>
    </row>
    <row r="910" spans="27:30" ht="15">
      <c r="AA910"/>
      <c r="AB910"/>
      <c r="AC910"/>
      <c r="AD910"/>
    </row>
    <row r="911" spans="27:30" ht="15">
      <c r="AA911"/>
      <c r="AB911"/>
      <c r="AC911"/>
      <c r="AD911"/>
    </row>
    <row r="912" spans="27:30" ht="15">
      <c r="AA912"/>
      <c r="AB912"/>
      <c r="AC912"/>
      <c r="AD912"/>
    </row>
    <row r="913" spans="27:30" ht="15">
      <c r="AA913"/>
      <c r="AB913"/>
      <c r="AC913"/>
      <c r="AD913"/>
    </row>
    <row r="914" spans="27:30" ht="15">
      <c r="AA914"/>
      <c r="AB914"/>
      <c r="AC914"/>
      <c r="AD914"/>
    </row>
    <row r="915" spans="27:30" ht="15">
      <c r="AA915"/>
      <c r="AB915"/>
      <c r="AC915"/>
      <c r="AD915"/>
    </row>
    <row r="916" spans="27:30" ht="15">
      <c r="AA916"/>
      <c r="AB916"/>
      <c r="AC916"/>
      <c r="AD916"/>
    </row>
    <row r="917" spans="27:30" ht="15">
      <c r="AA917"/>
      <c r="AB917"/>
      <c r="AC917"/>
      <c r="AD917"/>
    </row>
    <row r="918" spans="27:30" ht="15">
      <c r="AA918"/>
      <c r="AB918"/>
      <c r="AC918"/>
      <c r="AD918"/>
    </row>
    <row r="919" spans="27:30" ht="15">
      <c r="AA919"/>
      <c r="AB919"/>
      <c r="AC919"/>
      <c r="AD919"/>
    </row>
    <row r="920" spans="27:30" ht="15">
      <c r="AA920"/>
      <c r="AB920"/>
      <c r="AC920"/>
      <c r="AD920"/>
    </row>
    <row r="921" spans="27:30" ht="15">
      <c r="AA921"/>
      <c r="AB921"/>
      <c r="AC921"/>
      <c r="AD921"/>
    </row>
    <row r="922" spans="27:30" ht="15">
      <c r="AA922"/>
      <c r="AB922"/>
      <c r="AC922"/>
      <c r="AD922"/>
    </row>
    <row r="923" spans="27:30" ht="15">
      <c r="AA923"/>
      <c r="AB923"/>
      <c r="AC923"/>
      <c r="AD923"/>
    </row>
    <row r="924" spans="27:30" ht="15">
      <c r="AA924"/>
      <c r="AB924"/>
      <c r="AC924"/>
      <c r="AD924"/>
    </row>
    <row r="925" spans="27:30" ht="15">
      <c r="AA925"/>
      <c r="AB925"/>
      <c r="AC925"/>
      <c r="AD925"/>
    </row>
    <row r="926" spans="27:30" ht="15">
      <c r="AA926"/>
      <c r="AB926"/>
      <c r="AC926"/>
      <c r="AD926"/>
    </row>
    <row r="927" spans="27:30" ht="15">
      <c r="AA927"/>
      <c r="AB927"/>
      <c r="AC927"/>
      <c r="AD927"/>
    </row>
    <row r="928" spans="27:30" ht="15">
      <c r="AA928"/>
      <c r="AB928"/>
      <c r="AC928"/>
      <c r="AD928"/>
    </row>
    <row r="929" spans="27:30" ht="15">
      <c r="AA929"/>
      <c r="AB929"/>
      <c r="AC929"/>
      <c r="AD929"/>
    </row>
    <row r="930" spans="27:30" ht="15">
      <c r="AA930"/>
      <c r="AB930"/>
      <c r="AC930"/>
      <c r="AD930"/>
    </row>
    <row r="931" spans="27:30" ht="15">
      <c r="AA931"/>
      <c r="AB931"/>
      <c r="AC931"/>
      <c r="AD931"/>
    </row>
    <row r="932" spans="27:30" ht="15">
      <c r="AA932"/>
      <c r="AB932"/>
      <c r="AC932"/>
      <c r="AD932"/>
    </row>
    <row r="933" spans="27:30" ht="15">
      <c r="AA933"/>
      <c r="AB933"/>
      <c r="AC933"/>
      <c r="AD933"/>
    </row>
    <row r="934" spans="27:30" ht="15">
      <c r="AA934"/>
      <c r="AB934"/>
      <c r="AC934"/>
      <c r="AD934"/>
    </row>
    <row r="935" spans="27:30" ht="15">
      <c r="AA935"/>
      <c r="AB935"/>
      <c r="AC935"/>
      <c r="AD935"/>
    </row>
    <row r="936" spans="27:30" ht="15">
      <c r="AA936"/>
      <c r="AB936"/>
      <c r="AC936"/>
      <c r="AD936"/>
    </row>
    <row r="937" spans="27:30" ht="15">
      <c r="AA937"/>
      <c r="AB937"/>
      <c r="AC937"/>
      <c r="AD937"/>
    </row>
    <row r="938" spans="27:30" ht="15">
      <c r="AA938"/>
      <c r="AB938"/>
      <c r="AC938"/>
      <c r="AD938"/>
    </row>
    <row r="939" spans="27:30" ht="15">
      <c r="AA939"/>
      <c r="AB939"/>
      <c r="AC939"/>
      <c r="AD939"/>
    </row>
    <row r="940" spans="27:30" ht="15">
      <c r="AA940"/>
      <c r="AB940"/>
      <c r="AC940"/>
      <c r="AD940"/>
    </row>
    <row r="941" spans="27:30" ht="15">
      <c r="AA941"/>
      <c r="AB941"/>
      <c r="AC941"/>
      <c r="AD941"/>
    </row>
    <row r="942" spans="27:30" ht="15">
      <c r="AA942"/>
      <c r="AB942"/>
      <c r="AC942"/>
      <c r="AD942"/>
    </row>
    <row r="943" spans="27:30" ht="15">
      <c r="AA943"/>
      <c r="AB943"/>
      <c r="AC943"/>
      <c r="AD943"/>
    </row>
    <row r="944" spans="27:30" ht="15">
      <c r="AA944"/>
      <c r="AB944"/>
      <c r="AC944"/>
      <c r="AD944"/>
    </row>
    <row r="945" spans="27:30" ht="15">
      <c r="AA945"/>
      <c r="AB945"/>
      <c r="AC945"/>
      <c r="AD945"/>
    </row>
    <row r="946" spans="27:30" ht="15">
      <c r="AA946"/>
      <c r="AB946"/>
      <c r="AC946"/>
      <c r="AD946"/>
    </row>
    <row r="947" spans="27:30" ht="15">
      <c r="AA947"/>
      <c r="AB947"/>
      <c r="AC947"/>
      <c r="AD947"/>
    </row>
    <row r="948" spans="27:30" ht="15">
      <c r="AA948"/>
      <c r="AB948"/>
      <c r="AC948"/>
      <c r="AD948"/>
    </row>
    <row r="949" spans="27:30" ht="15">
      <c r="AA949"/>
      <c r="AB949"/>
      <c r="AC949"/>
      <c r="AD949"/>
    </row>
    <row r="950" spans="27:30" ht="15">
      <c r="AA950"/>
      <c r="AB950"/>
      <c r="AC950"/>
      <c r="AD950"/>
    </row>
    <row r="951" spans="27:30" ht="15">
      <c r="AA951"/>
      <c r="AB951"/>
      <c r="AC951"/>
      <c r="AD951"/>
    </row>
    <row r="952" spans="27:30" ht="15">
      <c r="AA952"/>
      <c r="AB952"/>
      <c r="AC952"/>
      <c r="AD952"/>
    </row>
    <row r="953" spans="27:30" ht="15">
      <c r="AA953"/>
      <c r="AB953"/>
      <c r="AC953"/>
      <c r="AD953"/>
    </row>
    <row r="954" spans="27:30" ht="15">
      <c r="AA954"/>
      <c r="AB954"/>
      <c r="AC954"/>
      <c r="AD954"/>
    </row>
    <row r="955" spans="27:30" ht="15">
      <c r="AA955"/>
      <c r="AB955"/>
      <c r="AC955"/>
      <c r="AD955"/>
    </row>
    <row r="956" spans="27:30" ht="15">
      <c r="AA956"/>
      <c r="AB956"/>
      <c r="AC956"/>
      <c r="AD956"/>
    </row>
    <row r="957" spans="27:30" ht="15">
      <c r="AA957"/>
      <c r="AB957"/>
      <c r="AC957"/>
      <c r="AD957"/>
    </row>
    <row r="958" spans="27:30" ht="15">
      <c r="AA958"/>
      <c r="AB958"/>
      <c r="AC958"/>
      <c r="AD958"/>
    </row>
    <row r="959" spans="27:30" ht="15">
      <c r="AA959"/>
      <c r="AB959"/>
      <c r="AC959"/>
      <c r="AD959"/>
    </row>
    <row r="960" spans="27:30" ht="15">
      <c r="AA960"/>
      <c r="AB960"/>
      <c r="AC960"/>
      <c r="AD960"/>
    </row>
    <row r="961" spans="27:30" ht="15">
      <c r="AA961"/>
      <c r="AB961"/>
      <c r="AC961"/>
      <c r="AD961"/>
    </row>
    <row r="962" spans="27:30" ht="15">
      <c r="AA962"/>
      <c r="AB962"/>
      <c r="AC962"/>
      <c r="AD962"/>
    </row>
    <row r="963" spans="27:30" ht="15">
      <c r="AA963"/>
      <c r="AB963"/>
      <c r="AC963"/>
      <c r="AD963"/>
    </row>
    <row r="964" spans="27:30" ht="15">
      <c r="AA964"/>
      <c r="AB964"/>
      <c r="AC964"/>
      <c r="AD964"/>
    </row>
    <row r="965" spans="27:30" ht="15">
      <c r="AA965"/>
      <c r="AB965"/>
      <c r="AC965"/>
      <c r="AD965"/>
    </row>
    <row r="966" spans="27:30" ht="15">
      <c r="AA966"/>
      <c r="AB966"/>
      <c r="AC966"/>
      <c r="AD966"/>
    </row>
    <row r="967" spans="27:30" ht="15">
      <c r="AA967"/>
      <c r="AB967"/>
      <c r="AC967"/>
      <c r="AD967"/>
    </row>
    <row r="968" spans="27:30" ht="15">
      <c r="AA968"/>
      <c r="AB968"/>
      <c r="AC968"/>
      <c r="AD968"/>
    </row>
    <row r="969" spans="27:30" ht="15">
      <c r="AA969"/>
      <c r="AB969"/>
      <c r="AC969"/>
      <c r="AD969"/>
    </row>
    <row r="970" spans="27:30" ht="15">
      <c r="AA970"/>
      <c r="AB970"/>
      <c r="AC970"/>
      <c r="AD970"/>
    </row>
    <row r="971" spans="27:30" ht="15">
      <c r="AA971"/>
      <c r="AB971"/>
      <c r="AC971"/>
      <c r="AD971"/>
    </row>
    <row r="972" spans="27:30" ht="15">
      <c r="AA972"/>
      <c r="AB972"/>
      <c r="AC972"/>
      <c r="AD972"/>
    </row>
    <row r="973" spans="27:30" ht="15">
      <c r="AA973"/>
      <c r="AB973"/>
      <c r="AC973"/>
      <c r="AD973"/>
    </row>
    <row r="974" spans="27:30" ht="15">
      <c r="AA974"/>
      <c r="AB974"/>
      <c r="AC974"/>
      <c r="AD974"/>
    </row>
    <row r="975" spans="27:30" ht="15">
      <c r="AA975"/>
      <c r="AB975"/>
      <c r="AC975"/>
      <c r="AD975"/>
    </row>
    <row r="976" spans="27:30" ht="15">
      <c r="AA976"/>
      <c r="AB976"/>
      <c r="AC976"/>
      <c r="AD976"/>
    </row>
    <row r="977" spans="27:30" ht="15">
      <c r="AA977"/>
      <c r="AB977"/>
      <c r="AC977"/>
      <c r="AD977"/>
    </row>
    <row r="978" spans="27:30" ht="15">
      <c r="AA978"/>
      <c r="AB978"/>
      <c r="AC978"/>
      <c r="AD978"/>
    </row>
    <row r="979" spans="27:30" ht="15">
      <c r="AA979"/>
      <c r="AB979"/>
      <c r="AC979"/>
      <c r="AD979"/>
    </row>
    <row r="980" spans="27:30" ht="15">
      <c r="AA980"/>
      <c r="AB980"/>
      <c r="AC980"/>
      <c r="AD980"/>
    </row>
    <row r="981" spans="27:30" ht="15">
      <c r="AA981"/>
      <c r="AB981"/>
      <c r="AC981"/>
      <c r="AD981"/>
    </row>
    <row r="982" spans="27:30" ht="15">
      <c r="AA982"/>
      <c r="AB982"/>
      <c r="AC982"/>
      <c r="AD982"/>
    </row>
    <row r="983" spans="27:30" ht="15">
      <c r="AA983"/>
      <c r="AB983"/>
      <c r="AC983"/>
      <c r="AD983"/>
    </row>
    <row r="984" spans="27:30" ht="15">
      <c r="AA984"/>
      <c r="AB984"/>
      <c r="AC984"/>
      <c r="AD984"/>
    </row>
    <row r="985" spans="27:30" ht="15">
      <c r="AA985"/>
      <c r="AB985"/>
      <c r="AC985"/>
      <c r="AD985"/>
    </row>
    <row r="986" spans="27:30" ht="15">
      <c r="AA986"/>
      <c r="AB986"/>
      <c r="AC986"/>
      <c r="AD986"/>
    </row>
    <row r="987" spans="27:30" ht="15">
      <c r="AA987"/>
      <c r="AB987"/>
      <c r="AC987"/>
      <c r="AD987"/>
    </row>
    <row r="988" spans="27:30" ht="15">
      <c r="AA988"/>
      <c r="AB988"/>
      <c r="AC988"/>
      <c r="AD988"/>
    </row>
    <row r="989" spans="27:30" ht="15">
      <c r="AA989"/>
      <c r="AB989"/>
      <c r="AC989"/>
      <c r="AD989"/>
    </row>
    <row r="990" spans="27:30" ht="15">
      <c r="AA990"/>
      <c r="AB990"/>
      <c r="AC990"/>
      <c r="AD990"/>
    </row>
    <row r="991" spans="27:30" ht="15">
      <c r="AA991"/>
      <c r="AB991"/>
      <c r="AC991"/>
      <c r="AD991"/>
    </row>
    <row r="992" spans="27:30" ht="15">
      <c r="AA992"/>
      <c r="AB992"/>
      <c r="AC992"/>
      <c r="AD992"/>
    </row>
    <row r="993" spans="27:30" ht="15">
      <c r="AA993"/>
      <c r="AB993"/>
      <c r="AC993"/>
      <c r="AD993"/>
    </row>
    <row r="994" spans="27:30" ht="15">
      <c r="AA994"/>
      <c r="AB994"/>
      <c r="AC994"/>
      <c r="AD994"/>
    </row>
    <row r="995" spans="27:30" ht="15">
      <c r="AA995"/>
      <c r="AB995"/>
      <c r="AC995"/>
      <c r="AD995"/>
    </row>
    <row r="996" spans="27:30" ht="15">
      <c r="AA996"/>
      <c r="AB996"/>
      <c r="AC996"/>
      <c r="AD996"/>
    </row>
    <row r="997" spans="27:30" ht="15">
      <c r="AA997"/>
      <c r="AB997"/>
      <c r="AC997"/>
      <c r="AD997"/>
    </row>
    <row r="998" spans="27:30" ht="15">
      <c r="AA998"/>
      <c r="AB998"/>
      <c r="AC998"/>
      <c r="AD998"/>
    </row>
    <row r="999" spans="27:30" ht="15">
      <c r="AA999"/>
      <c r="AB999"/>
      <c r="AC999"/>
      <c r="AD999"/>
    </row>
    <row r="1000" spans="27:30" ht="15">
      <c r="AA1000"/>
      <c r="AB1000"/>
      <c r="AC1000"/>
      <c r="AD1000"/>
    </row>
    <row r="1001" spans="27:30" ht="15">
      <c r="AA1001"/>
      <c r="AB1001"/>
      <c r="AC1001"/>
      <c r="AD1001"/>
    </row>
    <row r="1002" spans="27:30" ht="15">
      <c r="AA1002"/>
      <c r="AB1002"/>
      <c r="AC1002"/>
      <c r="AD1002"/>
    </row>
    <row r="1003" spans="27:30" ht="15">
      <c r="AA1003"/>
      <c r="AB1003"/>
      <c r="AC1003"/>
      <c r="AD1003"/>
    </row>
    <row r="1004" spans="27:30" ht="15">
      <c r="AA1004"/>
      <c r="AB1004"/>
      <c r="AC1004"/>
      <c r="AD1004"/>
    </row>
    <row r="1005" spans="27:30" ht="15">
      <c r="AA1005"/>
      <c r="AB1005"/>
      <c r="AC1005"/>
      <c r="AD1005"/>
    </row>
    <row r="1006" spans="27:30" ht="15">
      <c r="AA1006"/>
      <c r="AB1006"/>
      <c r="AC1006"/>
      <c r="AD1006"/>
    </row>
    <row r="1007" spans="27:30" ht="15">
      <c r="AA1007"/>
      <c r="AB1007"/>
      <c r="AC1007"/>
      <c r="AD1007"/>
    </row>
    <row r="1008" spans="27:30" ht="15">
      <c r="AA1008"/>
      <c r="AB1008"/>
      <c r="AC1008"/>
      <c r="AD1008"/>
    </row>
    <row r="1009" spans="27:30" ht="15">
      <c r="AA1009"/>
      <c r="AB1009"/>
      <c r="AC1009"/>
      <c r="AD1009"/>
    </row>
    <row r="1010" spans="27:30" ht="15">
      <c r="AA1010"/>
      <c r="AB1010"/>
      <c r="AC1010"/>
      <c r="AD1010"/>
    </row>
    <row r="1011" spans="27:30" ht="15">
      <c r="AA1011"/>
      <c r="AB1011"/>
      <c r="AC1011"/>
      <c r="AD1011"/>
    </row>
    <row r="1012" spans="27:30" ht="15">
      <c r="AA1012"/>
      <c r="AB1012"/>
      <c r="AC1012"/>
      <c r="AD1012"/>
    </row>
    <row r="1013" spans="27:30" ht="15">
      <c r="AA1013"/>
      <c r="AB1013"/>
      <c r="AC1013"/>
      <c r="AD1013"/>
    </row>
    <row r="1014" spans="27:30" ht="15">
      <c r="AA1014"/>
      <c r="AB1014"/>
      <c r="AC1014"/>
      <c r="AD1014"/>
    </row>
    <row r="1015" spans="27:30" ht="15">
      <c r="AA1015"/>
      <c r="AB1015"/>
      <c r="AC1015"/>
      <c r="AD1015"/>
    </row>
    <row r="1016" spans="27:30" ht="15">
      <c r="AA1016"/>
      <c r="AB1016"/>
      <c r="AC1016"/>
      <c r="AD1016"/>
    </row>
    <row r="1017" spans="27:30" ht="15">
      <c r="AA1017"/>
      <c r="AB1017"/>
      <c r="AC1017"/>
      <c r="AD1017"/>
    </row>
    <row r="1018" spans="27:30" ht="15">
      <c r="AA1018"/>
      <c r="AB1018"/>
      <c r="AC1018"/>
      <c r="AD1018"/>
    </row>
    <row r="1019" spans="27:30" ht="15">
      <c r="AA1019"/>
      <c r="AB1019"/>
      <c r="AC1019"/>
      <c r="AD1019"/>
    </row>
    <row r="1020" spans="27:30" ht="15">
      <c r="AA1020"/>
      <c r="AB1020"/>
      <c r="AC1020"/>
      <c r="AD1020"/>
    </row>
    <row r="1021" spans="27:30" ht="15">
      <c r="AA1021"/>
      <c r="AB1021"/>
      <c r="AC1021"/>
      <c r="AD1021"/>
    </row>
    <row r="1022" spans="27:30" ht="15">
      <c r="AA1022"/>
      <c r="AB1022"/>
      <c r="AC1022"/>
      <c r="AD1022"/>
    </row>
    <row r="1023" spans="27:30" ht="15">
      <c r="AA1023"/>
      <c r="AB1023"/>
      <c r="AC1023"/>
      <c r="AD1023"/>
    </row>
    <row r="1024" spans="27:30" ht="15">
      <c r="AA1024"/>
      <c r="AB1024"/>
      <c r="AC1024"/>
      <c r="AD1024"/>
    </row>
    <row r="1025" spans="27:30" ht="15">
      <c r="AA1025"/>
      <c r="AB1025"/>
      <c r="AC1025"/>
      <c r="AD1025"/>
    </row>
    <row r="1026" spans="27:30" ht="15">
      <c r="AA1026"/>
      <c r="AB1026"/>
      <c r="AC1026"/>
      <c r="AD1026"/>
    </row>
    <row r="1027" spans="27:30" ht="15">
      <c r="AA1027"/>
      <c r="AB1027"/>
      <c r="AC1027"/>
      <c r="AD1027"/>
    </row>
    <row r="1028" spans="27:30" ht="15">
      <c r="AA1028"/>
      <c r="AB1028"/>
      <c r="AC1028"/>
      <c r="AD1028"/>
    </row>
    <row r="1029" spans="27:30" ht="15">
      <c r="AA1029"/>
      <c r="AB1029"/>
      <c r="AC1029"/>
      <c r="AD1029"/>
    </row>
    <row r="1030" spans="27:30" ht="15">
      <c r="AA1030"/>
      <c r="AB1030"/>
      <c r="AC1030"/>
      <c r="AD1030"/>
    </row>
    <row r="1031" spans="27:30" ht="15">
      <c r="AA1031"/>
      <c r="AB1031"/>
      <c r="AC1031"/>
      <c r="AD1031"/>
    </row>
    <row r="1032" spans="27:30" ht="15">
      <c r="AA1032"/>
      <c r="AB1032"/>
      <c r="AC1032"/>
      <c r="AD1032"/>
    </row>
    <row r="1033" spans="27:30" ht="15">
      <c r="AA1033"/>
      <c r="AB1033"/>
      <c r="AC1033"/>
      <c r="AD1033"/>
    </row>
    <row r="1034" spans="27:30" ht="15">
      <c r="AA1034"/>
      <c r="AB1034"/>
      <c r="AC1034"/>
      <c r="AD1034"/>
    </row>
    <row r="1035" spans="27:30" ht="15">
      <c r="AA1035"/>
      <c r="AB1035"/>
      <c r="AC1035"/>
      <c r="AD1035"/>
    </row>
    <row r="1036" spans="27:30" ht="15">
      <c r="AA1036"/>
      <c r="AB1036"/>
      <c r="AC1036"/>
      <c r="AD1036"/>
    </row>
    <row r="1037" spans="27:30" ht="15">
      <c r="AA1037"/>
      <c r="AB1037"/>
      <c r="AC1037"/>
      <c r="AD1037"/>
    </row>
    <row r="1038" spans="27:30" ht="15">
      <c r="AA1038"/>
      <c r="AB1038"/>
      <c r="AC1038"/>
      <c r="AD1038"/>
    </row>
    <row r="1039" spans="27:30" ht="15">
      <c r="AA1039"/>
      <c r="AB1039"/>
      <c r="AC1039"/>
      <c r="AD1039"/>
    </row>
    <row r="1040" spans="27:30" ht="15">
      <c r="AA1040"/>
      <c r="AB1040"/>
      <c r="AC1040"/>
      <c r="AD1040"/>
    </row>
    <row r="1041" spans="27:30" ht="15">
      <c r="AA1041"/>
      <c r="AB1041"/>
      <c r="AC1041"/>
      <c r="AD1041"/>
    </row>
    <row r="1042" spans="27:30" ht="15">
      <c r="AA1042"/>
      <c r="AB1042"/>
      <c r="AC1042"/>
      <c r="AD1042"/>
    </row>
    <row r="1043" spans="27:30" ht="15">
      <c r="AA1043"/>
      <c r="AB1043"/>
      <c r="AC1043"/>
      <c r="AD1043"/>
    </row>
    <row r="1044" spans="27:30" ht="15">
      <c r="AA1044"/>
      <c r="AB1044"/>
      <c r="AC1044"/>
      <c r="AD1044"/>
    </row>
    <row r="1045" spans="27:30" ht="15">
      <c r="AA1045"/>
      <c r="AB1045"/>
      <c r="AC1045"/>
      <c r="AD1045"/>
    </row>
    <row r="1046" spans="27:30" ht="15">
      <c r="AA1046"/>
      <c r="AB1046"/>
      <c r="AC1046"/>
      <c r="AD1046"/>
    </row>
    <row r="1047" spans="27:30" ht="15">
      <c r="AA1047"/>
      <c r="AB1047"/>
      <c r="AC1047"/>
      <c r="AD1047"/>
    </row>
    <row r="1048" spans="27:30" ht="15">
      <c r="AA1048"/>
      <c r="AB1048"/>
      <c r="AC1048"/>
      <c r="AD1048"/>
    </row>
    <row r="1049" spans="27:30" ht="15">
      <c r="AA1049"/>
      <c r="AB1049"/>
      <c r="AC1049"/>
      <c r="AD1049"/>
    </row>
    <row r="1050" spans="27:30" ht="15">
      <c r="AA1050"/>
      <c r="AB1050"/>
      <c r="AC1050"/>
      <c r="AD1050"/>
    </row>
    <row r="1051" spans="27:30" ht="15">
      <c r="AA1051"/>
      <c r="AB1051"/>
      <c r="AC1051"/>
      <c r="AD1051"/>
    </row>
    <row r="1052" spans="27:30" ht="15">
      <c r="AA1052"/>
      <c r="AB1052"/>
      <c r="AC1052"/>
      <c r="AD1052"/>
    </row>
    <row r="1053" spans="27:30" ht="15">
      <c r="AA1053"/>
      <c r="AB1053"/>
      <c r="AC1053"/>
      <c r="AD1053"/>
    </row>
    <row r="1054" spans="27:30" ht="15">
      <c r="AA1054"/>
      <c r="AB1054"/>
      <c r="AC1054"/>
      <c r="AD1054"/>
    </row>
    <row r="1055" spans="27:30" ht="15">
      <c r="AA1055"/>
      <c r="AB1055"/>
      <c r="AC1055"/>
      <c r="AD1055"/>
    </row>
    <row r="1056" spans="27:30" ht="15">
      <c r="AA1056"/>
      <c r="AB1056"/>
      <c r="AC1056"/>
      <c r="AD1056"/>
    </row>
    <row r="1057" spans="27:30" ht="15">
      <c r="AA1057"/>
      <c r="AB1057"/>
      <c r="AC1057"/>
      <c r="AD1057"/>
    </row>
    <row r="1058" spans="27:30" ht="15">
      <c r="AA1058"/>
      <c r="AB1058"/>
      <c r="AC1058"/>
      <c r="AD1058"/>
    </row>
    <row r="1059" spans="27:30" ht="15">
      <c r="AA1059"/>
      <c r="AB1059"/>
      <c r="AC1059"/>
      <c r="AD1059"/>
    </row>
    <row r="1060" spans="27:30" ht="15">
      <c r="AA1060"/>
      <c r="AB1060"/>
      <c r="AC1060"/>
      <c r="AD1060"/>
    </row>
    <row r="1061" spans="27:30" ht="15">
      <c r="AA1061"/>
      <c r="AB1061"/>
      <c r="AC1061"/>
      <c r="AD1061"/>
    </row>
    <row r="1062" spans="27:30" ht="15">
      <c r="AA1062"/>
      <c r="AB1062"/>
      <c r="AC1062"/>
      <c r="AD1062"/>
    </row>
    <row r="1063" spans="27:30" ht="15">
      <c r="AA1063"/>
      <c r="AB1063"/>
      <c r="AC1063"/>
      <c r="AD1063"/>
    </row>
    <row r="1064" spans="27:30" ht="15">
      <c r="AA1064"/>
      <c r="AB1064"/>
      <c r="AC1064"/>
      <c r="AD1064"/>
    </row>
    <row r="1065" spans="27:30" ht="15">
      <c r="AA1065"/>
      <c r="AB1065"/>
      <c r="AC1065"/>
      <c r="AD1065"/>
    </row>
    <row r="1066" spans="27:30" ht="15">
      <c r="AA1066"/>
      <c r="AB1066"/>
      <c r="AC1066"/>
      <c r="AD1066"/>
    </row>
    <row r="1067" spans="27:30" ht="15">
      <c r="AA1067"/>
      <c r="AB1067"/>
      <c r="AC1067"/>
      <c r="AD1067"/>
    </row>
    <row r="1068" spans="27:30" ht="15">
      <c r="AA1068"/>
      <c r="AB1068"/>
      <c r="AC1068"/>
      <c r="AD1068"/>
    </row>
    <row r="1069" spans="27:30" ht="15">
      <c r="AA1069"/>
      <c r="AB1069"/>
      <c r="AC1069"/>
      <c r="AD1069"/>
    </row>
    <row r="1070" spans="27:30" ht="15">
      <c r="AA1070"/>
      <c r="AB1070"/>
      <c r="AC1070"/>
      <c r="AD1070"/>
    </row>
    <row r="1071" spans="27:30" ht="15">
      <c r="AA1071"/>
      <c r="AB1071"/>
      <c r="AC1071"/>
      <c r="AD1071"/>
    </row>
    <row r="1072" spans="27:30" ht="15">
      <c r="AA1072"/>
      <c r="AB1072"/>
      <c r="AC1072"/>
      <c r="AD1072"/>
    </row>
    <row r="1073" spans="27:30" ht="15">
      <c r="AA1073"/>
      <c r="AB1073"/>
      <c r="AC1073"/>
      <c r="AD1073"/>
    </row>
    <row r="1074" spans="27:30" ht="15">
      <c r="AA1074"/>
      <c r="AB1074"/>
      <c r="AC1074"/>
      <c r="AD1074"/>
    </row>
    <row r="1075" spans="27:30" ht="15">
      <c r="AA1075"/>
      <c r="AB1075"/>
      <c r="AC1075"/>
      <c r="AD1075"/>
    </row>
    <row r="1076" spans="27:30" ht="15">
      <c r="AA1076"/>
      <c r="AB1076"/>
      <c r="AC1076"/>
      <c r="AD1076"/>
    </row>
    <row r="1077" spans="27:30" ht="15">
      <c r="AA1077"/>
      <c r="AB1077"/>
      <c r="AC1077"/>
      <c r="AD1077"/>
    </row>
    <row r="1078" spans="27:30" ht="15">
      <c r="AA1078"/>
      <c r="AB1078"/>
      <c r="AC1078"/>
      <c r="AD1078"/>
    </row>
    <row r="1079" spans="27:30" ht="15">
      <c r="AA1079"/>
      <c r="AB1079"/>
      <c r="AC1079"/>
      <c r="AD1079"/>
    </row>
    <row r="1080" spans="27:30" ht="15">
      <c r="AA1080"/>
      <c r="AB1080"/>
      <c r="AC1080"/>
      <c r="AD1080"/>
    </row>
    <row r="1081" spans="27:30" ht="15">
      <c r="AA1081"/>
      <c r="AB1081"/>
      <c r="AC1081"/>
      <c r="AD1081"/>
    </row>
    <row r="1082" spans="27:30" ht="15">
      <c r="AA1082"/>
      <c r="AB1082"/>
      <c r="AC1082"/>
      <c r="AD1082"/>
    </row>
    <row r="1083" spans="27:30" ht="15">
      <c r="AA1083"/>
      <c r="AB1083"/>
      <c r="AC1083"/>
      <c r="AD1083"/>
    </row>
    <row r="1084" spans="27:30" ht="15">
      <c r="AA1084"/>
      <c r="AB1084"/>
      <c r="AC1084"/>
      <c r="AD1084"/>
    </row>
    <row r="1085" spans="27:30" ht="15">
      <c r="AA1085"/>
      <c r="AB1085"/>
      <c r="AC1085"/>
      <c r="AD1085"/>
    </row>
    <row r="1086" spans="27:30" ht="15">
      <c r="AA1086"/>
      <c r="AB1086"/>
      <c r="AC1086"/>
      <c r="AD1086"/>
    </row>
    <row r="1087" spans="27:30" ht="15">
      <c r="AA1087"/>
      <c r="AB1087"/>
      <c r="AC1087"/>
      <c r="AD1087"/>
    </row>
    <row r="1088" spans="27:30" ht="15">
      <c r="AA1088"/>
      <c r="AB1088"/>
      <c r="AC1088"/>
      <c r="AD1088"/>
    </row>
    <row r="1089" spans="27:30" ht="15">
      <c r="AA1089"/>
      <c r="AB1089"/>
      <c r="AC1089"/>
      <c r="AD1089"/>
    </row>
    <row r="1090" spans="27:30" ht="15">
      <c r="AA1090"/>
      <c r="AB1090"/>
      <c r="AC1090"/>
      <c r="AD1090"/>
    </row>
    <row r="1091" spans="27:30" ht="15">
      <c r="AA1091"/>
      <c r="AB1091"/>
      <c r="AC1091"/>
      <c r="AD1091"/>
    </row>
    <row r="1092" spans="27:30" ht="15">
      <c r="AA1092"/>
      <c r="AB1092"/>
      <c r="AC1092"/>
      <c r="AD1092"/>
    </row>
    <row r="1093" spans="27:30" ht="15">
      <c r="AA1093"/>
      <c r="AB1093"/>
      <c r="AC1093"/>
      <c r="AD1093"/>
    </row>
    <row r="1094" spans="27:30" ht="15">
      <c r="AA1094"/>
      <c r="AB1094"/>
      <c r="AC1094"/>
      <c r="AD1094"/>
    </row>
    <row r="1095" spans="27:30" ht="15">
      <c r="AA1095"/>
      <c r="AB1095"/>
      <c r="AC1095"/>
      <c r="AD1095"/>
    </row>
    <row r="1096" spans="27:30" ht="15">
      <c r="AA1096"/>
      <c r="AB1096"/>
      <c r="AC1096"/>
      <c r="AD1096"/>
    </row>
    <row r="1097" spans="27:30" ht="15">
      <c r="AA1097"/>
      <c r="AB1097"/>
      <c r="AC1097"/>
      <c r="AD1097"/>
    </row>
    <row r="1098" spans="27:30" ht="15">
      <c r="AA1098"/>
      <c r="AB1098"/>
      <c r="AC1098"/>
      <c r="AD1098"/>
    </row>
    <row r="1099" spans="27:30" ht="15">
      <c r="AA1099"/>
      <c r="AB1099"/>
      <c r="AC1099"/>
      <c r="AD1099"/>
    </row>
    <row r="1100" spans="27:30" ht="15">
      <c r="AA1100"/>
      <c r="AB1100"/>
      <c r="AC1100"/>
      <c r="AD1100"/>
    </row>
    <row r="1101" spans="27:30" ht="15">
      <c r="AA1101"/>
      <c r="AB1101"/>
      <c r="AC1101"/>
      <c r="AD1101"/>
    </row>
    <row r="1102" spans="27:30" ht="15">
      <c r="AA1102"/>
      <c r="AB1102"/>
      <c r="AC1102"/>
      <c r="AD1102"/>
    </row>
    <row r="1103" spans="27:30" ht="15">
      <c r="AA1103"/>
      <c r="AB1103"/>
      <c r="AC1103"/>
      <c r="AD1103"/>
    </row>
    <row r="1104" spans="27:30" ht="15">
      <c r="AA1104"/>
      <c r="AB1104"/>
      <c r="AC1104"/>
      <c r="AD1104"/>
    </row>
    <row r="1105" spans="27:30" ht="15">
      <c r="AA1105"/>
      <c r="AB1105"/>
      <c r="AC1105"/>
      <c r="AD1105"/>
    </row>
    <row r="1106" spans="27:30" ht="15">
      <c r="AA1106"/>
      <c r="AB1106"/>
      <c r="AC1106"/>
      <c r="AD1106"/>
    </row>
    <row r="1107" spans="27:30" ht="15">
      <c r="AA1107"/>
      <c r="AB1107"/>
      <c r="AC1107"/>
      <c r="AD1107"/>
    </row>
    <row r="1108" spans="27:30" ht="15">
      <c r="AA1108"/>
      <c r="AB1108"/>
      <c r="AC1108"/>
      <c r="AD1108"/>
    </row>
    <row r="1109" spans="27:30" ht="15">
      <c r="AA1109"/>
      <c r="AB1109"/>
      <c r="AC1109"/>
      <c r="AD1109"/>
    </row>
    <row r="1110" spans="27:30" ht="15">
      <c r="AA1110"/>
      <c r="AB1110"/>
      <c r="AC1110"/>
      <c r="AD1110"/>
    </row>
    <row r="1111" spans="27:30" ht="15">
      <c r="AA1111"/>
      <c r="AB1111"/>
      <c r="AC1111"/>
      <c r="AD1111"/>
    </row>
    <row r="1112" spans="27:30" ht="15">
      <c r="AA1112"/>
      <c r="AB1112"/>
      <c r="AC1112"/>
      <c r="AD1112"/>
    </row>
    <row r="1113" spans="27:30" ht="15">
      <c r="AA1113"/>
      <c r="AB1113"/>
      <c r="AC1113"/>
      <c r="AD1113"/>
    </row>
    <row r="1114" spans="27:30" ht="15">
      <c r="AA1114"/>
      <c r="AB1114"/>
      <c r="AC1114"/>
      <c r="AD1114"/>
    </row>
    <row r="1115" spans="27:30" ht="15">
      <c r="AA1115"/>
      <c r="AB1115"/>
      <c r="AC1115"/>
      <c r="AD1115"/>
    </row>
    <row r="1116" spans="27:30" ht="15">
      <c r="AA1116"/>
      <c r="AB1116"/>
      <c r="AC1116"/>
      <c r="AD1116"/>
    </row>
    <row r="1117" spans="27:30" ht="15">
      <c r="AA1117"/>
      <c r="AB1117"/>
      <c r="AC1117"/>
      <c r="AD1117"/>
    </row>
    <row r="1118" spans="27:30" ht="15">
      <c r="AA1118"/>
      <c r="AB1118"/>
      <c r="AC1118"/>
      <c r="AD1118"/>
    </row>
    <row r="1119" spans="27:30" ht="15">
      <c r="AA1119"/>
      <c r="AB1119"/>
      <c r="AC1119"/>
      <c r="AD1119"/>
    </row>
    <row r="1120" spans="27:30" ht="15">
      <c r="AA1120"/>
      <c r="AB1120"/>
      <c r="AC1120"/>
      <c r="AD1120"/>
    </row>
    <row r="1121" spans="27:30" ht="15">
      <c r="AA1121"/>
      <c r="AB1121"/>
      <c r="AC1121"/>
      <c r="AD1121"/>
    </row>
    <row r="1122" spans="27:30" ht="15">
      <c r="AA1122"/>
      <c r="AB1122"/>
      <c r="AC1122"/>
      <c r="AD1122"/>
    </row>
    <row r="1123" spans="27:30" ht="15">
      <c r="AA1123"/>
      <c r="AB1123"/>
      <c r="AC1123"/>
      <c r="AD1123"/>
    </row>
    <row r="1124" spans="27:30" ht="15">
      <c r="AA1124"/>
      <c r="AB1124"/>
      <c r="AC1124"/>
      <c r="AD1124"/>
    </row>
    <row r="1125" spans="27:30" ht="15">
      <c r="AA1125"/>
      <c r="AB1125"/>
      <c r="AC1125"/>
      <c r="AD1125"/>
    </row>
    <row r="1126" spans="27:30" ht="15">
      <c r="AA1126"/>
      <c r="AB1126"/>
      <c r="AC1126"/>
      <c r="AD1126"/>
    </row>
    <row r="1127" spans="27:30" ht="15">
      <c r="AA1127"/>
      <c r="AB1127"/>
      <c r="AC1127"/>
      <c r="AD1127"/>
    </row>
    <row r="1128" spans="27:30" ht="15">
      <c r="AA1128"/>
      <c r="AB1128"/>
      <c r="AC1128"/>
      <c r="AD1128"/>
    </row>
    <row r="1129" spans="27:30" ht="15">
      <c r="AA1129"/>
      <c r="AB1129"/>
      <c r="AC1129"/>
      <c r="AD1129"/>
    </row>
    <row r="1130" spans="27:30" ht="15">
      <c r="AA1130"/>
      <c r="AB1130"/>
      <c r="AC1130"/>
      <c r="AD1130"/>
    </row>
    <row r="1131" spans="27:30" ht="15">
      <c r="AA1131"/>
      <c r="AB1131"/>
      <c r="AC1131"/>
      <c r="AD1131"/>
    </row>
    <row r="1132" spans="27:30" ht="15">
      <c r="AA1132"/>
      <c r="AB1132"/>
      <c r="AC1132"/>
      <c r="AD1132"/>
    </row>
    <row r="1133" spans="27:30" ht="15">
      <c r="AA1133"/>
      <c r="AB1133"/>
      <c r="AC1133"/>
      <c r="AD1133"/>
    </row>
    <row r="1134" spans="27:30" ht="15">
      <c r="AA1134"/>
      <c r="AB1134"/>
      <c r="AC1134"/>
      <c r="AD1134"/>
    </row>
    <row r="1135" spans="27:30" ht="15">
      <c r="AA1135"/>
      <c r="AB1135"/>
      <c r="AC1135"/>
      <c r="AD1135"/>
    </row>
    <row r="1136" spans="27:30" ht="15">
      <c r="AA1136"/>
      <c r="AB1136"/>
      <c r="AC1136"/>
      <c r="AD1136"/>
    </row>
    <row r="1137" spans="27:30" ht="15">
      <c r="AA1137"/>
      <c r="AB1137"/>
      <c r="AC1137"/>
      <c r="AD1137"/>
    </row>
    <row r="1138" spans="27:30" ht="15">
      <c r="AA1138"/>
      <c r="AB1138"/>
      <c r="AC1138"/>
      <c r="AD1138"/>
    </row>
    <row r="1139" spans="27:30" ht="15">
      <c r="AA1139"/>
      <c r="AB1139"/>
      <c r="AC1139"/>
      <c r="AD1139"/>
    </row>
    <row r="1140" spans="27:30" ht="15">
      <c r="AA1140"/>
      <c r="AB1140"/>
      <c r="AC1140"/>
      <c r="AD1140"/>
    </row>
    <row r="1141" spans="27:30" ht="15">
      <c r="AA1141"/>
      <c r="AB1141"/>
      <c r="AC1141"/>
      <c r="AD1141"/>
    </row>
    <row r="1142" spans="27:30" ht="15">
      <c r="AA1142"/>
      <c r="AB1142"/>
      <c r="AC1142"/>
      <c r="AD1142"/>
    </row>
    <row r="1143" spans="27:30" ht="15">
      <c r="AA1143"/>
      <c r="AB1143"/>
      <c r="AC1143"/>
      <c r="AD1143"/>
    </row>
    <row r="1144" spans="27:30" ht="15">
      <c r="AA1144"/>
      <c r="AB1144"/>
      <c r="AC1144"/>
      <c r="AD1144"/>
    </row>
    <row r="1145" spans="27:30" ht="15">
      <c r="AA1145"/>
      <c r="AB1145"/>
      <c r="AC1145"/>
      <c r="AD1145"/>
    </row>
    <row r="1146" spans="27:30" ht="15">
      <c r="AA1146"/>
      <c r="AB1146"/>
      <c r="AC1146"/>
      <c r="AD1146"/>
    </row>
    <row r="1147" spans="27:30" ht="15">
      <c r="AA1147"/>
      <c r="AB1147"/>
      <c r="AC1147"/>
      <c r="AD1147"/>
    </row>
    <row r="1148" spans="27:30" ht="15">
      <c r="AA1148"/>
      <c r="AB1148"/>
      <c r="AC1148"/>
      <c r="AD1148"/>
    </row>
    <row r="1149" spans="27:30" ht="15">
      <c r="AA1149"/>
      <c r="AB1149"/>
      <c r="AC1149"/>
      <c r="AD1149"/>
    </row>
    <row r="1150" spans="27:30" ht="15">
      <c r="AA1150"/>
      <c r="AB1150"/>
      <c r="AC1150"/>
      <c r="AD1150"/>
    </row>
    <row r="1151" spans="27:30" ht="15">
      <c r="AA1151"/>
      <c r="AB1151"/>
      <c r="AC1151"/>
      <c r="AD1151"/>
    </row>
    <row r="1152" spans="27:30" ht="15">
      <c r="AA1152"/>
      <c r="AB1152"/>
      <c r="AC1152"/>
      <c r="AD1152"/>
    </row>
    <row r="1153" spans="27:30" ht="15">
      <c r="AA1153"/>
      <c r="AB1153"/>
      <c r="AC1153"/>
      <c r="AD1153"/>
    </row>
    <row r="1154" spans="27:30" ht="15">
      <c r="AA1154"/>
      <c r="AB1154"/>
      <c r="AC1154"/>
      <c r="AD1154"/>
    </row>
    <row r="1155" spans="27:30" ht="15">
      <c r="AA1155"/>
      <c r="AB1155"/>
      <c r="AC1155"/>
      <c r="AD1155"/>
    </row>
    <row r="1156" spans="27:30" ht="15">
      <c r="AA1156"/>
      <c r="AB1156"/>
      <c r="AC1156"/>
      <c r="AD1156"/>
    </row>
    <row r="1157" spans="27:30" ht="15">
      <c r="AA1157"/>
      <c r="AB1157"/>
      <c r="AC1157"/>
      <c r="AD1157"/>
    </row>
    <row r="1158" spans="27:30" ht="15">
      <c r="AA1158"/>
      <c r="AB1158"/>
      <c r="AC1158"/>
      <c r="AD1158"/>
    </row>
    <row r="1159" spans="27:30" ht="15">
      <c r="AA1159"/>
      <c r="AB1159"/>
      <c r="AC1159"/>
      <c r="AD1159"/>
    </row>
    <row r="1160" spans="27:30" ht="15">
      <c r="AA1160"/>
      <c r="AB1160"/>
      <c r="AC1160"/>
      <c r="AD1160"/>
    </row>
    <row r="1161" spans="27:30" ht="15">
      <c r="AA1161"/>
      <c r="AB1161"/>
      <c r="AC1161"/>
      <c r="AD1161"/>
    </row>
    <row r="1162" spans="27:30" ht="15">
      <c r="AA1162"/>
      <c r="AB1162"/>
      <c r="AC1162"/>
      <c r="AD1162"/>
    </row>
    <row r="1163" spans="27:30" ht="15">
      <c r="AA1163"/>
      <c r="AB1163"/>
      <c r="AC1163"/>
      <c r="AD1163"/>
    </row>
    <row r="1164" spans="27:30" ht="15">
      <c r="AA1164"/>
      <c r="AB1164"/>
      <c r="AC1164"/>
      <c r="AD1164"/>
    </row>
    <row r="1165" spans="27:30" ht="15">
      <c r="AA1165"/>
      <c r="AB1165"/>
      <c r="AC1165"/>
      <c r="AD1165"/>
    </row>
    <row r="1166" spans="27:30" ht="15">
      <c r="AA1166"/>
      <c r="AB1166"/>
      <c r="AC1166"/>
      <c r="AD1166"/>
    </row>
    <row r="1167" spans="27:30" ht="15">
      <c r="AA1167"/>
      <c r="AB1167"/>
      <c r="AC1167"/>
      <c r="AD1167"/>
    </row>
    <row r="1168" spans="27:30" ht="15">
      <c r="AA1168"/>
      <c r="AB1168"/>
      <c r="AC1168"/>
      <c r="AD1168"/>
    </row>
    <row r="1169" spans="27:30" ht="15">
      <c r="AA1169"/>
      <c r="AB1169"/>
      <c r="AC1169"/>
      <c r="AD1169"/>
    </row>
    <row r="1170" spans="27:30" ht="15">
      <c r="AA1170"/>
      <c r="AB1170"/>
      <c r="AC1170"/>
      <c r="AD1170"/>
    </row>
    <row r="1171" spans="27:30" ht="15">
      <c r="AA1171"/>
      <c r="AB1171"/>
      <c r="AC1171"/>
      <c r="AD1171"/>
    </row>
    <row r="1172" spans="27:30" ht="15">
      <c r="AA1172"/>
      <c r="AB1172"/>
      <c r="AC1172"/>
      <c r="AD1172"/>
    </row>
    <row r="1173" spans="27:30" ht="15">
      <c r="AA1173"/>
      <c r="AB1173"/>
      <c r="AC1173"/>
      <c r="AD1173"/>
    </row>
    <row r="1174" spans="27:30" ht="15">
      <c r="AA1174"/>
      <c r="AB1174"/>
      <c r="AC1174"/>
      <c r="AD1174"/>
    </row>
    <row r="1175" spans="27:30" ht="15">
      <c r="AA1175"/>
      <c r="AB1175"/>
      <c r="AC1175"/>
      <c r="AD1175"/>
    </row>
    <row r="1176" spans="27:30" ht="15">
      <c r="AA1176"/>
      <c r="AB1176"/>
      <c r="AC1176"/>
      <c r="AD1176"/>
    </row>
    <row r="1177" spans="27:30" ht="15">
      <c r="AA1177"/>
      <c r="AB1177"/>
      <c r="AC1177"/>
      <c r="AD1177"/>
    </row>
    <row r="1178" spans="27:30" ht="15">
      <c r="AA1178"/>
      <c r="AB1178"/>
      <c r="AC1178"/>
      <c r="AD1178"/>
    </row>
    <row r="1179" spans="27:30" ht="15">
      <c r="AA1179"/>
      <c r="AB1179"/>
      <c r="AC1179"/>
      <c r="AD1179"/>
    </row>
    <row r="1180" spans="27:30" ht="15">
      <c r="AA1180"/>
      <c r="AB1180"/>
      <c r="AC1180"/>
      <c r="AD1180"/>
    </row>
    <row r="1181" spans="27:30" ht="15">
      <c r="AA1181"/>
      <c r="AB1181"/>
      <c r="AC1181"/>
      <c r="AD1181"/>
    </row>
    <row r="1182" spans="27:30" ht="15">
      <c r="AA1182"/>
      <c r="AB1182"/>
      <c r="AC1182"/>
      <c r="AD1182"/>
    </row>
    <row r="1183" spans="27:30" ht="15">
      <c r="AA1183"/>
      <c r="AB1183"/>
      <c r="AC1183"/>
      <c r="AD1183"/>
    </row>
    <row r="1184" spans="27:30" ht="15">
      <c r="AA1184"/>
      <c r="AB1184"/>
      <c r="AC1184"/>
      <c r="AD1184"/>
    </row>
    <row r="1185" spans="27:30" ht="15">
      <c r="AA1185"/>
      <c r="AB1185"/>
      <c r="AC1185"/>
      <c r="AD1185"/>
    </row>
    <row r="1186" spans="27:30" ht="15">
      <c r="AA1186"/>
      <c r="AB1186"/>
      <c r="AC1186"/>
      <c r="AD1186"/>
    </row>
    <row r="1187" spans="27:30" ht="15">
      <c r="AA1187"/>
      <c r="AB1187"/>
      <c r="AC1187"/>
      <c r="AD1187"/>
    </row>
    <row r="1188" spans="27:30" ht="15">
      <c r="AA1188"/>
      <c r="AB1188"/>
      <c r="AC1188"/>
      <c r="AD1188"/>
    </row>
    <row r="1189" spans="27:30" ht="15">
      <c r="AA1189"/>
      <c r="AB1189"/>
      <c r="AC1189"/>
      <c r="AD1189"/>
    </row>
    <row r="1190" spans="27:30" ht="15">
      <c r="AA1190"/>
      <c r="AB1190"/>
      <c r="AC1190"/>
      <c r="AD1190"/>
    </row>
    <row r="1191" spans="27:30" ht="15">
      <c r="AA1191"/>
      <c r="AB1191"/>
      <c r="AC1191"/>
      <c r="AD1191"/>
    </row>
    <row r="1192" spans="27:30" ht="15">
      <c r="AA1192"/>
      <c r="AB1192"/>
      <c r="AC1192"/>
      <c r="AD1192"/>
    </row>
    <row r="1193" spans="27:30" ht="15">
      <c r="AA1193"/>
      <c r="AB1193"/>
      <c r="AC1193"/>
      <c r="AD1193"/>
    </row>
    <row r="1194" spans="27:30" ht="15">
      <c r="AA1194"/>
      <c r="AB1194"/>
      <c r="AC1194"/>
      <c r="AD1194"/>
    </row>
    <row r="1195" spans="27:30" ht="15">
      <c r="AA1195"/>
      <c r="AB1195"/>
      <c r="AC1195"/>
      <c r="AD1195"/>
    </row>
    <row r="1196" spans="27:30" ht="15">
      <c r="AA1196"/>
      <c r="AB1196"/>
      <c r="AC1196"/>
      <c r="AD1196"/>
    </row>
    <row r="1197" spans="27:30" ht="15">
      <c r="AA1197"/>
      <c r="AB1197"/>
      <c r="AC1197"/>
      <c r="AD1197"/>
    </row>
    <row r="1198" spans="27:30" ht="15">
      <c r="AA1198"/>
      <c r="AB1198"/>
      <c r="AC1198"/>
      <c r="AD1198"/>
    </row>
    <row r="1199" spans="27:30" ht="15">
      <c r="AA1199"/>
      <c r="AB1199"/>
      <c r="AC1199"/>
      <c r="AD1199"/>
    </row>
    <row r="1200" spans="27:30" ht="15">
      <c r="AA1200"/>
      <c r="AB1200"/>
      <c r="AC1200"/>
      <c r="AD1200"/>
    </row>
    <row r="1201" spans="27:30" ht="15">
      <c r="AA1201"/>
      <c r="AB1201"/>
      <c r="AC1201"/>
      <c r="AD1201"/>
    </row>
    <row r="1202" spans="27:30" ht="15">
      <c r="AA1202"/>
      <c r="AB1202"/>
      <c r="AC1202"/>
      <c r="AD1202"/>
    </row>
    <row r="1203" spans="27:30" ht="15">
      <c r="AA1203"/>
      <c r="AB1203"/>
      <c r="AC1203"/>
      <c r="AD1203"/>
    </row>
    <row r="1204" spans="27:30" ht="15">
      <c r="AA1204"/>
      <c r="AB1204"/>
      <c r="AC1204"/>
      <c r="AD1204"/>
    </row>
    <row r="1205" spans="27:30" ht="15">
      <c r="AA1205"/>
      <c r="AB1205"/>
      <c r="AC1205"/>
      <c r="AD1205"/>
    </row>
    <row r="1206" spans="27:30" ht="15">
      <c r="AA1206"/>
      <c r="AB1206"/>
      <c r="AC1206"/>
      <c r="AD1206"/>
    </row>
    <row r="1207" spans="27:30" ht="15">
      <c r="AA1207"/>
      <c r="AB1207"/>
      <c r="AC1207"/>
      <c r="AD1207"/>
    </row>
    <row r="1208" spans="27:30" ht="15">
      <c r="AA1208"/>
      <c r="AB1208"/>
      <c r="AC1208"/>
      <c r="AD1208"/>
    </row>
    <row r="1209" spans="27:30" ht="15">
      <c r="AA1209"/>
      <c r="AB1209"/>
      <c r="AC1209"/>
      <c r="AD1209"/>
    </row>
    <row r="1210" spans="27:30" ht="15">
      <c r="AA1210"/>
      <c r="AB1210"/>
      <c r="AC1210"/>
      <c r="AD1210"/>
    </row>
    <row r="1211" spans="27:30" ht="15">
      <c r="AA1211"/>
      <c r="AB1211"/>
      <c r="AC1211"/>
      <c r="AD1211"/>
    </row>
    <row r="1212" spans="27:30" ht="15">
      <c r="AA1212"/>
      <c r="AB1212"/>
      <c r="AC1212"/>
      <c r="AD1212"/>
    </row>
    <row r="1213" spans="27:30" ht="15">
      <c r="AA1213"/>
      <c r="AB1213"/>
      <c r="AC1213"/>
      <c r="AD1213"/>
    </row>
    <row r="1214" spans="27:30" ht="15">
      <c r="AA1214"/>
      <c r="AB1214"/>
      <c r="AC1214"/>
      <c r="AD1214"/>
    </row>
    <row r="1215" spans="27:30" ht="15">
      <c r="AA1215"/>
      <c r="AB1215"/>
      <c r="AC1215"/>
      <c r="AD1215"/>
    </row>
    <row r="1216" spans="27:30" ht="15">
      <c r="AA1216"/>
      <c r="AB1216"/>
      <c r="AC1216"/>
      <c r="AD1216"/>
    </row>
    <row r="1217" spans="27:30" ht="15">
      <c r="AA1217"/>
      <c r="AB1217"/>
      <c r="AC1217"/>
      <c r="AD1217"/>
    </row>
    <row r="1218" spans="27:30" ht="15">
      <c r="AA1218"/>
      <c r="AB1218"/>
      <c r="AC1218"/>
      <c r="AD1218"/>
    </row>
    <row r="1219" spans="27:30" ht="15">
      <c r="AA1219"/>
      <c r="AB1219"/>
      <c r="AC1219"/>
      <c r="AD1219"/>
    </row>
    <row r="1220" spans="27:30" ht="15">
      <c r="AA1220"/>
      <c r="AB1220"/>
      <c r="AC1220"/>
      <c r="AD1220"/>
    </row>
    <row r="1221" spans="27:30" ht="15">
      <c r="AA1221"/>
      <c r="AB1221"/>
      <c r="AC1221"/>
      <c r="AD1221"/>
    </row>
    <row r="1222" spans="27:30" ht="15">
      <c r="AA1222"/>
      <c r="AB1222"/>
      <c r="AC1222"/>
      <c r="AD1222"/>
    </row>
    <row r="1223" spans="27:30" ht="15">
      <c r="AA1223"/>
      <c r="AB1223"/>
      <c r="AC1223"/>
      <c r="AD1223"/>
    </row>
    <row r="1224" spans="27:30" ht="15">
      <c r="AA1224"/>
      <c r="AB1224"/>
      <c r="AC1224"/>
      <c r="AD1224"/>
    </row>
    <row r="1225" spans="27:30" ht="15">
      <c r="AA1225"/>
      <c r="AB1225"/>
      <c r="AC1225"/>
      <c r="AD1225"/>
    </row>
    <row r="1226" spans="27:30" ht="15">
      <c r="AA1226"/>
      <c r="AB1226"/>
      <c r="AC1226"/>
      <c r="AD1226"/>
    </row>
    <row r="1227" spans="27:30" ht="15">
      <c r="AA1227"/>
      <c r="AB1227"/>
      <c r="AC1227"/>
      <c r="AD1227"/>
    </row>
    <row r="1228" spans="27:30" ht="15">
      <c r="AA1228"/>
      <c r="AB1228"/>
      <c r="AC1228"/>
      <c r="AD1228"/>
    </row>
    <row r="1229" spans="27:30" ht="15">
      <c r="AA1229"/>
      <c r="AB1229"/>
      <c r="AC1229"/>
      <c r="AD1229"/>
    </row>
    <row r="1230" spans="27:30" ht="15">
      <c r="AA1230"/>
      <c r="AB1230"/>
      <c r="AC1230"/>
      <c r="AD1230"/>
    </row>
    <row r="1231" spans="27:30" ht="15">
      <c r="AA1231"/>
      <c r="AB1231"/>
      <c r="AC1231"/>
      <c r="AD1231"/>
    </row>
    <row r="1232" spans="27:30" ht="15">
      <c r="AA1232"/>
      <c r="AB1232"/>
      <c r="AC1232"/>
      <c r="AD1232"/>
    </row>
    <row r="1233" spans="27:30" ht="15">
      <c r="AA1233"/>
      <c r="AB1233"/>
      <c r="AC1233"/>
      <c r="AD1233"/>
    </row>
    <row r="1234" spans="27:30" ht="15">
      <c r="AA1234"/>
      <c r="AB1234"/>
      <c r="AC1234"/>
      <c r="AD1234"/>
    </row>
    <row r="1235" spans="27:30" ht="15">
      <c r="AA1235"/>
      <c r="AB1235"/>
      <c r="AC1235"/>
      <c r="AD1235"/>
    </row>
    <row r="1236" spans="27:30" ht="15">
      <c r="AA1236"/>
      <c r="AB1236"/>
      <c r="AC1236"/>
      <c r="AD1236"/>
    </row>
    <row r="1237" spans="27:30" ht="15">
      <c r="AA1237"/>
      <c r="AB1237"/>
      <c r="AC1237"/>
      <c r="AD1237"/>
    </row>
    <row r="1238" spans="27:30" ht="15">
      <c r="AA1238"/>
      <c r="AB1238"/>
      <c r="AC1238"/>
      <c r="AD1238"/>
    </row>
    <row r="1239" spans="27:30" ht="15">
      <c r="AA1239"/>
      <c r="AB1239"/>
      <c r="AC1239"/>
      <c r="AD1239"/>
    </row>
    <row r="1240" spans="27:30" ht="15">
      <c r="AA1240"/>
      <c r="AB1240"/>
      <c r="AC1240"/>
      <c r="AD1240"/>
    </row>
    <row r="1241" spans="27:30" ht="15">
      <c r="AA1241"/>
      <c r="AB1241"/>
      <c r="AC1241"/>
      <c r="AD1241"/>
    </row>
    <row r="1242" spans="27:30" ht="15">
      <c r="AA1242"/>
      <c r="AB1242"/>
      <c r="AC1242"/>
      <c r="AD1242"/>
    </row>
    <row r="1243" spans="27:30" ht="15">
      <c r="AA1243"/>
      <c r="AB1243"/>
      <c r="AC1243"/>
      <c r="AD1243"/>
    </row>
    <row r="1244" spans="27:30" ht="15">
      <c r="AA1244"/>
      <c r="AB1244"/>
      <c r="AC1244"/>
      <c r="AD1244"/>
    </row>
    <row r="1245" spans="27:30" ht="15">
      <c r="AA1245"/>
      <c r="AB1245"/>
      <c r="AC1245"/>
      <c r="AD1245"/>
    </row>
    <row r="1246" spans="27:30" ht="15">
      <c r="AA1246"/>
      <c r="AB1246"/>
      <c r="AC1246"/>
      <c r="AD1246"/>
    </row>
    <row r="1247" spans="27:30" ht="15">
      <c r="AA1247"/>
      <c r="AB1247"/>
      <c r="AC1247"/>
      <c r="AD1247"/>
    </row>
    <row r="1248" spans="27:30" ht="15">
      <c r="AA1248"/>
      <c r="AB1248"/>
      <c r="AC1248"/>
      <c r="AD1248"/>
    </row>
    <row r="1249" spans="27:30" ht="15">
      <c r="AA1249"/>
      <c r="AB1249"/>
      <c r="AC1249"/>
      <c r="AD1249"/>
    </row>
    <row r="1250" spans="27:30" ht="15">
      <c r="AA1250"/>
      <c r="AB1250"/>
      <c r="AC1250"/>
      <c r="AD1250"/>
    </row>
    <row r="1251" spans="27:30" ht="15">
      <c r="AA1251"/>
      <c r="AB1251"/>
      <c r="AC1251"/>
      <c r="AD1251"/>
    </row>
    <row r="1252" spans="27:30" ht="15">
      <c r="AA1252"/>
      <c r="AB1252"/>
      <c r="AC1252"/>
      <c r="AD1252"/>
    </row>
    <row r="1253" spans="27:30" ht="15">
      <c r="AA1253"/>
      <c r="AB1253"/>
      <c r="AC1253"/>
      <c r="AD1253"/>
    </row>
    <row r="1254" spans="27:30" ht="15">
      <c r="AA1254"/>
      <c r="AB1254"/>
      <c r="AC1254"/>
      <c r="AD1254"/>
    </row>
    <row r="1255" spans="27:30" ht="15">
      <c r="AA1255"/>
      <c r="AB1255"/>
      <c r="AC1255"/>
      <c r="AD1255"/>
    </row>
    <row r="1256" spans="27:30" ht="15">
      <c r="AA1256"/>
      <c r="AB1256"/>
      <c r="AC1256"/>
      <c r="AD1256"/>
    </row>
    <row r="1257" spans="27:30" ht="15">
      <c r="AA1257"/>
      <c r="AB1257"/>
      <c r="AC1257"/>
      <c r="AD1257"/>
    </row>
    <row r="1258" spans="27:30" ht="15">
      <c r="AA1258"/>
      <c r="AB1258"/>
      <c r="AC1258"/>
      <c r="AD1258"/>
    </row>
    <row r="1259" spans="27:30" ht="15">
      <c r="AA1259"/>
      <c r="AB1259"/>
      <c r="AC1259"/>
      <c r="AD1259"/>
    </row>
    <row r="1260" spans="27:30" ht="15">
      <c r="AA1260"/>
      <c r="AB1260"/>
      <c r="AC1260"/>
      <c r="AD1260"/>
    </row>
    <row r="1261" spans="27:30" ht="15">
      <c r="AA1261"/>
      <c r="AB1261"/>
      <c r="AC1261"/>
      <c r="AD1261"/>
    </row>
    <row r="1262" spans="27:30" ht="15">
      <c r="AA1262"/>
      <c r="AB1262"/>
      <c r="AC1262"/>
      <c r="AD1262"/>
    </row>
    <row r="1263" spans="27:30" ht="15">
      <c r="AA1263"/>
      <c r="AB1263"/>
      <c r="AC1263"/>
      <c r="AD1263"/>
    </row>
    <row r="1264" spans="27:30" ht="15">
      <c r="AA1264"/>
      <c r="AB1264"/>
      <c r="AC1264"/>
      <c r="AD1264"/>
    </row>
    <row r="1265" spans="27:30" ht="15">
      <c r="AA1265"/>
      <c r="AB1265"/>
      <c r="AC1265"/>
      <c r="AD1265"/>
    </row>
    <row r="1266" spans="27:30" ht="15">
      <c r="AA1266"/>
      <c r="AB1266"/>
      <c r="AC1266"/>
      <c r="AD1266"/>
    </row>
    <row r="1267" spans="27:30" ht="15">
      <c r="AA1267"/>
      <c r="AB1267"/>
      <c r="AC1267"/>
      <c r="AD1267"/>
    </row>
    <row r="1268" spans="27:30" ht="15">
      <c r="AA1268"/>
      <c r="AB1268"/>
      <c r="AC1268"/>
      <c r="AD1268"/>
    </row>
    <row r="1269" spans="27:30" ht="15">
      <c r="AA1269"/>
      <c r="AB1269"/>
      <c r="AC1269"/>
      <c r="AD1269"/>
    </row>
    <row r="1270" spans="27:30" ht="15">
      <c r="AA1270"/>
      <c r="AB1270"/>
      <c r="AC1270"/>
      <c r="AD1270"/>
    </row>
    <row r="1271" spans="27:30" ht="15">
      <c r="AA1271"/>
      <c r="AB1271"/>
      <c r="AC1271"/>
      <c r="AD1271"/>
    </row>
    <row r="1272" spans="27:30" ht="15">
      <c r="AA1272"/>
      <c r="AB1272"/>
      <c r="AC1272"/>
      <c r="AD1272"/>
    </row>
    <row r="1273" spans="27:30" ht="15">
      <c r="AA1273"/>
      <c r="AB1273"/>
      <c r="AC1273"/>
      <c r="AD1273"/>
    </row>
    <row r="1274" spans="27:30" ht="15">
      <c r="AA1274"/>
      <c r="AB1274"/>
      <c r="AC1274"/>
      <c r="AD1274"/>
    </row>
    <row r="1275" spans="27:30" ht="15">
      <c r="AA1275"/>
      <c r="AB1275"/>
      <c r="AC1275"/>
      <c r="AD1275"/>
    </row>
    <row r="1276" spans="27:30" ht="15">
      <c r="AA1276"/>
      <c r="AB1276"/>
      <c r="AC1276"/>
      <c r="AD1276"/>
    </row>
    <row r="1277" spans="27:30" ht="15">
      <c r="AA1277"/>
      <c r="AB1277"/>
      <c r="AC1277"/>
      <c r="AD1277"/>
    </row>
    <row r="1278" spans="27:30" ht="15">
      <c r="AA1278"/>
      <c r="AB1278"/>
      <c r="AC1278"/>
      <c r="AD1278"/>
    </row>
    <row r="1279" spans="27:30" ht="15">
      <c r="AA1279"/>
      <c r="AB1279"/>
      <c r="AC1279"/>
      <c r="AD1279"/>
    </row>
    <row r="1280" spans="27:30" ht="15">
      <c r="AA1280"/>
      <c r="AB1280"/>
      <c r="AC1280"/>
      <c r="AD1280"/>
    </row>
    <row r="1281" spans="27:30" ht="15">
      <c r="AA1281"/>
      <c r="AB1281"/>
      <c r="AC1281"/>
      <c r="AD1281"/>
    </row>
    <row r="1282" spans="27:30" ht="15">
      <c r="AA1282"/>
      <c r="AB1282"/>
      <c r="AC1282"/>
      <c r="AD1282"/>
    </row>
    <row r="1283" spans="27:30" ht="15">
      <c r="AA1283"/>
      <c r="AB1283"/>
      <c r="AC1283"/>
      <c r="AD1283"/>
    </row>
    <row r="1284" spans="27:30" ht="15">
      <c r="AA1284"/>
      <c r="AB1284"/>
      <c r="AC1284"/>
      <c r="AD1284"/>
    </row>
    <row r="1285" spans="27:30" ht="15">
      <c r="AA1285"/>
      <c r="AB1285"/>
      <c r="AC1285"/>
      <c r="AD1285"/>
    </row>
    <row r="1286" spans="27:30" ht="15">
      <c r="AA1286"/>
      <c r="AB1286"/>
      <c r="AC1286"/>
      <c r="AD1286"/>
    </row>
    <row r="1287" spans="27:30" ht="15">
      <c r="AA1287"/>
      <c r="AB1287"/>
      <c r="AC1287"/>
      <c r="AD1287"/>
    </row>
    <row r="1288" spans="27:30" ht="15">
      <c r="AA1288"/>
      <c r="AB1288"/>
      <c r="AC1288"/>
      <c r="AD1288"/>
    </row>
    <row r="1289" spans="27:30" ht="15">
      <c r="AA1289"/>
      <c r="AB1289"/>
      <c r="AC1289"/>
      <c r="AD1289"/>
    </row>
    <row r="1290" spans="27:30" ht="15">
      <c r="AA1290"/>
      <c r="AB1290"/>
      <c r="AC1290"/>
      <c r="AD1290"/>
    </row>
    <row r="1291" spans="27:30" ht="15">
      <c r="AA1291"/>
      <c r="AB1291"/>
      <c r="AC1291"/>
      <c r="AD1291"/>
    </row>
    <row r="1292" spans="27:30" ht="15">
      <c r="AA1292"/>
      <c r="AB1292"/>
      <c r="AC1292"/>
      <c r="AD1292"/>
    </row>
    <row r="1293" spans="27:30" ht="15">
      <c r="AA1293"/>
      <c r="AB1293"/>
      <c r="AC1293"/>
      <c r="AD1293"/>
    </row>
    <row r="1294" spans="27:30" ht="15">
      <c r="AA1294"/>
      <c r="AB1294"/>
      <c r="AC1294"/>
      <c r="AD1294"/>
    </row>
    <row r="1295" spans="27:30" ht="15">
      <c r="AA1295"/>
      <c r="AB1295"/>
      <c r="AC1295"/>
      <c r="AD1295"/>
    </row>
    <row r="1296" spans="27:30" ht="15">
      <c r="AA1296"/>
      <c r="AB1296"/>
      <c r="AC1296"/>
      <c r="AD1296"/>
    </row>
    <row r="1297" spans="27:30" ht="15">
      <c r="AA1297"/>
      <c r="AB1297"/>
      <c r="AC1297"/>
      <c r="AD1297"/>
    </row>
    <row r="1298" spans="27:30" ht="15">
      <c r="AA1298"/>
      <c r="AB1298"/>
      <c r="AC1298"/>
      <c r="AD1298"/>
    </row>
    <row r="1299" spans="27:30" ht="15">
      <c r="AA1299"/>
      <c r="AB1299"/>
      <c r="AC1299"/>
      <c r="AD1299"/>
    </row>
    <row r="1300" spans="27:30" ht="15">
      <c r="AA1300"/>
      <c r="AB1300"/>
      <c r="AC1300"/>
      <c r="AD1300"/>
    </row>
    <row r="1301" spans="27:30" ht="15">
      <c r="AA1301"/>
      <c r="AB1301"/>
      <c r="AC1301"/>
      <c r="AD1301"/>
    </row>
    <row r="1302" spans="27:30" ht="15">
      <c r="AA1302"/>
      <c r="AB1302"/>
      <c r="AC1302"/>
      <c r="AD1302"/>
    </row>
    <row r="1303" spans="27:30" ht="15">
      <c r="AA1303"/>
      <c r="AB1303"/>
      <c r="AC1303"/>
      <c r="AD1303"/>
    </row>
    <row r="1304" spans="27:30" ht="15">
      <c r="AA1304"/>
      <c r="AB1304"/>
      <c r="AC1304"/>
      <c r="AD1304"/>
    </row>
    <row r="1305" spans="27:30" ht="15">
      <c r="AA1305"/>
      <c r="AB1305"/>
      <c r="AC1305"/>
      <c r="AD1305"/>
    </row>
    <row r="1306" spans="27:30" ht="15">
      <c r="AA1306"/>
      <c r="AB1306"/>
      <c r="AC1306"/>
      <c r="AD1306"/>
    </row>
    <row r="1307" spans="27:30" ht="15">
      <c r="AA1307"/>
      <c r="AB1307"/>
      <c r="AC1307"/>
      <c r="AD1307"/>
    </row>
    <row r="1308" spans="27:30" ht="15">
      <c r="AA1308"/>
      <c r="AB1308"/>
      <c r="AC1308"/>
      <c r="AD1308"/>
    </row>
    <row r="1309" spans="27:30" ht="15">
      <c r="AA1309"/>
      <c r="AB1309"/>
      <c r="AC1309"/>
      <c r="AD1309"/>
    </row>
    <row r="1310" spans="27:30" ht="15">
      <c r="AA1310"/>
      <c r="AB1310"/>
      <c r="AC1310"/>
      <c r="AD1310"/>
    </row>
    <row r="1311" spans="27:30" ht="15">
      <c r="AA1311"/>
      <c r="AB1311"/>
      <c r="AC1311"/>
      <c r="AD1311"/>
    </row>
    <row r="1312" spans="27:30" ht="15">
      <c r="AA1312"/>
      <c r="AB1312"/>
      <c r="AC1312"/>
      <c r="AD1312"/>
    </row>
    <row r="1313" spans="27:30" ht="15">
      <c r="AA1313"/>
      <c r="AB1313"/>
      <c r="AC1313"/>
      <c r="AD1313"/>
    </row>
    <row r="1314" spans="27:30" ht="15">
      <c r="AA1314"/>
      <c r="AB1314"/>
      <c r="AC1314"/>
      <c r="AD1314"/>
    </row>
    <row r="1315" spans="27:30" ht="15">
      <c r="AA1315"/>
      <c r="AB1315"/>
      <c r="AC1315"/>
      <c r="AD1315"/>
    </row>
    <row r="1316" spans="27:30" ht="15">
      <c r="AA1316"/>
      <c r="AB1316"/>
      <c r="AC1316"/>
      <c r="AD1316"/>
    </row>
    <row r="1317" spans="27:30" ht="15">
      <c r="AA1317"/>
      <c r="AB1317"/>
      <c r="AC1317"/>
      <c r="AD1317"/>
    </row>
    <row r="1318" spans="27:30" ht="15">
      <c r="AA1318"/>
      <c r="AB1318"/>
      <c r="AC1318"/>
      <c r="AD1318"/>
    </row>
    <row r="1319" spans="27:30" ht="15">
      <c r="AA1319"/>
      <c r="AB1319"/>
      <c r="AC1319"/>
      <c r="AD1319"/>
    </row>
    <row r="1320" spans="27:30" ht="15">
      <c r="AA1320"/>
      <c r="AB1320"/>
      <c r="AC1320"/>
      <c r="AD1320"/>
    </row>
    <row r="1321" spans="27:30" ht="15">
      <c r="AA1321"/>
      <c r="AB1321"/>
      <c r="AC1321"/>
      <c r="AD1321"/>
    </row>
    <row r="1322" spans="27:30" ht="15">
      <c r="AA1322"/>
      <c r="AB1322"/>
      <c r="AC1322"/>
      <c r="AD1322"/>
    </row>
    <row r="1323" spans="27:30" ht="15">
      <c r="AA1323"/>
      <c r="AB1323"/>
      <c r="AC1323"/>
      <c r="AD1323"/>
    </row>
    <row r="1324" spans="27:30" ht="15">
      <c r="AA1324"/>
      <c r="AB1324"/>
      <c r="AC1324"/>
      <c r="AD1324"/>
    </row>
    <row r="1325" spans="27:30" ht="15">
      <c r="AA1325"/>
      <c r="AB1325"/>
      <c r="AC1325"/>
      <c r="AD1325"/>
    </row>
    <row r="1326" spans="27:30" ht="15">
      <c r="AA1326"/>
      <c r="AB1326"/>
      <c r="AC1326"/>
      <c r="AD1326"/>
    </row>
    <row r="1327" spans="27:30" ht="15">
      <c r="AA1327"/>
      <c r="AB1327"/>
      <c r="AC1327"/>
      <c r="AD1327"/>
    </row>
    <row r="1328" spans="27:30" ht="15">
      <c r="AA1328"/>
      <c r="AB1328"/>
      <c r="AC1328"/>
      <c r="AD1328"/>
    </row>
    <row r="1329" spans="27:30" ht="15">
      <c r="AA1329"/>
      <c r="AB1329"/>
      <c r="AC1329"/>
      <c r="AD1329"/>
    </row>
    <row r="1330" spans="27:30" ht="15">
      <c r="AA1330"/>
      <c r="AB1330"/>
      <c r="AC1330"/>
      <c r="AD1330"/>
    </row>
    <row r="1331" spans="27:30" ht="15">
      <c r="AA1331"/>
      <c r="AB1331"/>
      <c r="AC1331"/>
      <c r="AD1331"/>
    </row>
    <row r="1332" spans="27:30" ht="15">
      <c r="AA1332"/>
      <c r="AB1332"/>
      <c r="AC1332"/>
      <c r="AD1332"/>
    </row>
    <row r="1333" spans="27:30" ht="15">
      <c r="AA1333"/>
      <c r="AB1333"/>
      <c r="AC1333"/>
      <c r="AD1333"/>
    </row>
    <row r="1334" spans="27:30" ht="15">
      <c r="AA1334"/>
      <c r="AB1334"/>
      <c r="AC1334"/>
      <c r="AD1334"/>
    </row>
    <row r="1335" spans="27:30" ht="15">
      <c r="AA1335"/>
      <c r="AB1335"/>
      <c r="AC1335"/>
      <c r="AD1335"/>
    </row>
    <row r="1336" spans="27:30" ht="15">
      <c r="AA1336"/>
      <c r="AB1336"/>
      <c r="AC1336"/>
      <c r="AD1336"/>
    </row>
    <row r="1337" spans="27:30" ht="15">
      <c r="AA1337"/>
      <c r="AB1337"/>
      <c r="AC1337"/>
      <c r="AD1337"/>
    </row>
    <row r="1338" spans="27:30" ht="15">
      <c r="AA1338"/>
      <c r="AB1338"/>
      <c r="AC1338"/>
      <c r="AD1338"/>
    </row>
    <row r="1339" spans="27:30" ht="15">
      <c r="AA1339"/>
      <c r="AB1339"/>
      <c r="AC1339"/>
      <c r="AD1339"/>
    </row>
    <row r="1340" spans="27:30" ht="15">
      <c r="AA1340"/>
      <c r="AB1340"/>
      <c r="AC1340"/>
      <c r="AD1340"/>
    </row>
    <row r="1341" spans="27:30" ht="15">
      <c r="AA1341"/>
      <c r="AB1341"/>
      <c r="AC1341"/>
      <c r="AD1341"/>
    </row>
    <row r="1342" spans="27:30" ht="15">
      <c r="AA1342"/>
      <c r="AB1342"/>
      <c r="AC1342"/>
      <c r="AD1342"/>
    </row>
    <row r="1343" spans="27:30" ht="15">
      <c r="AA1343"/>
      <c r="AB1343"/>
      <c r="AC1343"/>
      <c r="AD1343"/>
    </row>
    <row r="1344" spans="27:30" ht="15">
      <c r="AA1344"/>
      <c r="AB1344"/>
      <c r="AC1344"/>
      <c r="AD1344"/>
    </row>
    <row r="1345" spans="27:30" ht="15">
      <c r="AA1345"/>
      <c r="AB1345"/>
      <c r="AC1345"/>
      <c r="AD1345"/>
    </row>
    <row r="1346" spans="27:30" ht="15">
      <c r="AA1346"/>
      <c r="AB1346"/>
      <c r="AC1346"/>
      <c r="AD1346"/>
    </row>
    <row r="1347" spans="27:30" ht="15">
      <c r="AA1347"/>
      <c r="AB1347"/>
      <c r="AC1347"/>
      <c r="AD1347"/>
    </row>
    <row r="1348" spans="27:30" ht="15">
      <c r="AA1348"/>
      <c r="AB1348"/>
      <c r="AC1348"/>
      <c r="AD1348"/>
    </row>
    <row r="1349" spans="27:30" ht="15">
      <c r="AA1349"/>
      <c r="AB1349"/>
      <c r="AC1349"/>
      <c r="AD1349"/>
    </row>
    <row r="1350" spans="27:30" ht="15">
      <c r="AA1350"/>
      <c r="AB1350"/>
      <c r="AC1350"/>
      <c r="AD1350"/>
    </row>
    <row r="1351" spans="27:30" ht="15">
      <c r="AA1351"/>
      <c r="AB1351"/>
      <c r="AC1351"/>
      <c r="AD1351"/>
    </row>
    <row r="1352" spans="27:30" ht="15">
      <c r="AA1352"/>
      <c r="AB1352"/>
      <c r="AC1352"/>
      <c r="AD1352"/>
    </row>
    <row r="1353" spans="27:30" ht="15">
      <c r="AA1353"/>
      <c r="AB1353"/>
      <c r="AC1353"/>
      <c r="AD1353"/>
    </row>
    <row r="1354" spans="27:30" ht="15">
      <c r="AA1354"/>
      <c r="AB1354"/>
      <c r="AC1354"/>
      <c r="AD1354"/>
    </row>
    <row r="1355" spans="27:30" ht="15">
      <c r="AA1355"/>
      <c r="AB1355"/>
      <c r="AC1355"/>
      <c r="AD1355"/>
    </row>
    <row r="1356" spans="27:30" ht="15">
      <c r="AA1356"/>
      <c r="AB1356"/>
      <c r="AC1356"/>
      <c r="AD1356"/>
    </row>
    <row r="1357" spans="27:30" ht="15">
      <c r="AA1357"/>
      <c r="AB1357"/>
      <c r="AC1357"/>
      <c r="AD1357"/>
    </row>
    <row r="1358" spans="27:30" ht="15">
      <c r="AA1358"/>
      <c r="AB1358"/>
      <c r="AC1358"/>
      <c r="AD1358"/>
    </row>
    <row r="1359" spans="27:30" ht="15">
      <c r="AA1359"/>
      <c r="AB1359"/>
      <c r="AC1359"/>
      <c r="AD1359"/>
    </row>
    <row r="1360" spans="27:30" ht="15">
      <c r="AA1360"/>
      <c r="AB1360"/>
      <c r="AC1360"/>
      <c r="AD1360"/>
    </row>
    <row r="1361" spans="27:30" ht="15">
      <c r="AA1361"/>
      <c r="AB1361"/>
      <c r="AC1361"/>
      <c r="AD1361"/>
    </row>
    <row r="1362" spans="27:30" ht="15">
      <c r="AA1362"/>
      <c r="AB1362"/>
      <c r="AC1362"/>
      <c r="AD1362"/>
    </row>
    <row r="1363" spans="27:30" ht="15">
      <c r="AA1363"/>
      <c r="AB1363"/>
      <c r="AC1363"/>
      <c r="AD1363"/>
    </row>
    <row r="1364" spans="27:30" ht="15">
      <c r="AA1364"/>
      <c r="AB1364"/>
      <c r="AC1364"/>
      <c r="AD1364"/>
    </row>
    <row r="1365" spans="27:30" ht="15">
      <c r="AA1365"/>
      <c r="AB1365"/>
      <c r="AC1365"/>
      <c r="AD1365"/>
    </row>
    <row r="1366" spans="27:30" ht="15">
      <c r="AA1366"/>
      <c r="AB1366"/>
      <c r="AC1366"/>
      <c r="AD1366"/>
    </row>
    <row r="1367" spans="27:30" ht="15">
      <c r="AA1367"/>
      <c r="AB1367"/>
      <c r="AC1367"/>
      <c r="AD1367"/>
    </row>
    <row r="1368" spans="27:30" ht="15">
      <c r="AA1368"/>
      <c r="AB1368"/>
      <c r="AC1368"/>
      <c r="AD1368"/>
    </row>
    <row r="1369" spans="27:30" ht="15">
      <c r="AA1369"/>
      <c r="AB1369"/>
      <c r="AC1369"/>
      <c r="AD1369"/>
    </row>
    <row r="1370" spans="27:30" ht="15">
      <c r="AA1370"/>
      <c r="AB1370"/>
      <c r="AC1370"/>
      <c r="AD1370"/>
    </row>
    <row r="1371" spans="27:30" ht="15">
      <c r="AA1371"/>
      <c r="AB1371"/>
      <c r="AC1371"/>
      <c r="AD1371"/>
    </row>
    <row r="1372" spans="27:30" ht="15">
      <c r="AA1372"/>
      <c r="AB1372"/>
      <c r="AC1372"/>
      <c r="AD1372"/>
    </row>
    <row r="1373" spans="27:30" ht="15">
      <c r="AA1373"/>
      <c r="AB1373"/>
      <c r="AC1373"/>
      <c r="AD1373"/>
    </row>
    <row r="1374" spans="27:30" ht="15">
      <c r="AA1374"/>
      <c r="AB1374"/>
      <c r="AC1374"/>
      <c r="AD1374"/>
    </row>
    <row r="1375" spans="27:30" ht="15">
      <c r="AA1375"/>
      <c r="AB1375"/>
      <c r="AC1375"/>
      <c r="AD1375"/>
    </row>
    <row r="1376" spans="27:30" ht="15">
      <c r="AA1376"/>
      <c r="AB1376"/>
      <c r="AC1376"/>
      <c r="AD1376"/>
    </row>
    <row r="1377" spans="27:30" ht="15">
      <c r="AA1377"/>
      <c r="AB1377"/>
      <c r="AC1377"/>
      <c r="AD1377"/>
    </row>
    <row r="1378" spans="27:30" ht="15">
      <c r="AA1378"/>
      <c r="AB1378"/>
      <c r="AC1378"/>
      <c r="AD1378"/>
    </row>
    <row r="1379" spans="27:30" ht="15">
      <c r="AA1379"/>
      <c r="AB1379"/>
      <c r="AC1379"/>
      <c r="AD1379"/>
    </row>
    <row r="1380" spans="27:30" ht="15">
      <c r="AA1380"/>
      <c r="AB1380"/>
      <c r="AC1380"/>
      <c r="AD1380"/>
    </row>
    <row r="1381" spans="27:30" ht="15">
      <c r="AA1381"/>
      <c r="AB1381"/>
      <c r="AC1381"/>
      <c r="AD1381"/>
    </row>
    <row r="1382" spans="27:30" ht="15">
      <c r="AA1382"/>
      <c r="AB1382"/>
      <c r="AC1382"/>
      <c r="AD1382"/>
    </row>
    <row r="1383" spans="27:30" ht="15">
      <c r="AA1383"/>
      <c r="AB1383"/>
      <c r="AC1383"/>
      <c r="AD1383"/>
    </row>
    <row r="1384" spans="27:30" ht="15">
      <c r="AA1384"/>
      <c r="AB1384"/>
      <c r="AC1384"/>
      <c r="AD1384"/>
    </row>
    <row r="1385" spans="27:30" ht="15">
      <c r="AA1385"/>
      <c r="AB1385"/>
      <c r="AC1385"/>
      <c r="AD1385"/>
    </row>
    <row r="1386" spans="27:30" ht="15">
      <c r="AA1386"/>
      <c r="AB1386"/>
      <c r="AC1386"/>
      <c r="AD1386"/>
    </row>
    <row r="1387" spans="27:30" ht="15">
      <c r="AA1387"/>
      <c r="AB1387"/>
      <c r="AC1387"/>
      <c r="AD1387"/>
    </row>
    <row r="1388" spans="27:30" ht="15">
      <c r="AA1388"/>
      <c r="AB1388"/>
      <c r="AC1388"/>
      <c r="AD1388"/>
    </row>
    <row r="1389" spans="27:30" ht="15">
      <c r="AA1389"/>
      <c r="AB1389"/>
      <c r="AC1389"/>
      <c r="AD1389"/>
    </row>
    <row r="1390" spans="27:30" ht="15">
      <c r="AA1390"/>
      <c r="AB1390"/>
      <c r="AC1390"/>
      <c r="AD1390"/>
    </row>
    <row r="1391" spans="27:30" ht="15">
      <c r="AA1391"/>
      <c r="AB1391"/>
      <c r="AC1391"/>
      <c r="AD1391"/>
    </row>
    <row r="1392" spans="27:30" ht="15">
      <c r="AA1392"/>
      <c r="AB1392"/>
      <c r="AC1392"/>
      <c r="AD1392"/>
    </row>
    <row r="1393" spans="27:30" ht="15">
      <c r="AA1393"/>
      <c r="AB1393"/>
      <c r="AC1393"/>
      <c r="AD1393"/>
    </row>
    <row r="1394" spans="27:30" ht="15">
      <c r="AA1394"/>
      <c r="AB1394"/>
      <c r="AC1394"/>
      <c r="AD1394"/>
    </row>
    <row r="1395" spans="27:30" ht="15">
      <c r="AA1395"/>
      <c r="AB1395"/>
      <c r="AC1395"/>
      <c r="AD1395"/>
    </row>
    <row r="1396" spans="27:30" ht="15">
      <c r="AA1396"/>
      <c r="AB1396"/>
      <c r="AC1396"/>
      <c r="AD1396"/>
    </row>
    <row r="1397" spans="27:30" ht="15">
      <c r="AA1397"/>
      <c r="AB1397"/>
      <c r="AC1397"/>
      <c r="AD1397"/>
    </row>
    <row r="1398" spans="27:30" ht="15">
      <c r="AA1398"/>
      <c r="AB1398"/>
      <c r="AC1398"/>
      <c r="AD1398"/>
    </row>
    <row r="1399" spans="27:30" ht="15">
      <c r="AA1399"/>
      <c r="AB1399"/>
      <c r="AC1399"/>
      <c r="AD1399"/>
    </row>
    <row r="1400" spans="27:30" ht="15">
      <c r="AA1400"/>
      <c r="AB1400"/>
      <c r="AC1400"/>
      <c r="AD1400"/>
    </row>
    <row r="1401" spans="27:30" ht="15">
      <c r="AA1401"/>
      <c r="AB1401"/>
      <c r="AC1401"/>
      <c r="AD1401"/>
    </row>
    <row r="1402" spans="27:30" ht="15">
      <c r="AA1402"/>
      <c r="AB1402"/>
      <c r="AC1402"/>
      <c r="AD1402"/>
    </row>
    <row r="1403" spans="27:30" ht="15">
      <c r="AA1403"/>
      <c r="AB1403"/>
      <c r="AC1403"/>
      <c r="AD1403"/>
    </row>
    <row r="1404" spans="27:30" ht="15">
      <c r="AA1404"/>
      <c r="AB1404"/>
      <c r="AC1404"/>
      <c r="AD1404"/>
    </row>
    <row r="1405" spans="27:30" ht="15">
      <c r="AA1405"/>
      <c r="AB1405"/>
      <c r="AC1405"/>
      <c r="AD1405"/>
    </row>
    <row r="1406" spans="27:30" ht="15">
      <c r="AA1406"/>
      <c r="AB1406"/>
      <c r="AC1406"/>
      <c r="AD1406"/>
    </row>
    <row r="1407" spans="27:30" ht="15">
      <c r="AA1407"/>
      <c r="AB1407"/>
      <c r="AC1407"/>
      <c r="AD1407"/>
    </row>
    <row r="1408" spans="27:30" ht="15">
      <c r="AA1408"/>
      <c r="AB1408"/>
      <c r="AC1408"/>
      <c r="AD1408"/>
    </row>
    <row r="1409" spans="27:30" ht="15">
      <c r="AA1409"/>
      <c r="AB1409"/>
      <c r="AC1409"/>
      <c r="AD1409"/>
    </row>
    <row r="1410" spans="27:30" ht="15">
      <c r="AA1410"/>
      <c r="AB1410"/>
      <c r="AC1410"/>
      <c r="AD1410"/>
    </row>
    <row r="1411" spans="27:30" ht="15">
      <c r="AA1411"/>
      <c r="AB1411"/>
      <c r="AC1411"/>
      <c r="AD1411"/>
    </row>
    <row r="1412" spans="27:30" ht="15">
      <c r="AA1412"/>
      <c r="AB1412"/>
      <c r="AC1412"/>
      <c r="AD1412"/>
    </row>
    <row r="1413" spans="27:30" ht="15">
      <c r="AA1413"/>
      <c r="AB1413"/>
      <c r="AC1413"/>
      <c r="AD1413"/>
    </row>
    <row r="1414" spans="27:30" ht="15">
      <c r="AA1414"/>
      <c r="AB1414"/>
      <c r="AC1414"/>
      <c r="AD1414"/>
    </row>
    <row r="1415" spans="27:30" ht="15">
      <c r="AA1415"/>
      <c r="AB1415"/>
      <c r="AC1415"/>
      <c r="AD1415"/>
    </row>
    <row r="1416" spans="27:30" ht="15">
      <c r="AA1416"/>
      <c r="AB1416"/>
      <c r="AC1416"/>
      <c r="AD1416"/>
    </row>
    <row r="1417" spans="27:30" ht="15">
      <c r="AA1417"/>
      <c r="AB1417"/>
      <c r="AC1417"/>
      <c r="AD1417"/>
    </row>
    <row r="1418" spans="27:30" ht="15">
      <c r="AA1418"/>
      <c r="AB1418"/>
      <c r="AC1418"/>
      <c r="AD1418"/>
    </row>
    <row r="1419" spans="27:30" ht="15">
      <c r="AA1419"/>
      <c r="AB1419"/>
      <c r="AC1419"/>
      <c r="AD1419"/>
    </row>
    <row r="1420" spans="27:30" ht="15">
      <c r="AA1420"/>
      <c r="AB1420"/>
      <c r="AC1420"/>
      <c r="AD1420"/>
    </row>
    <row r="1421" spans="27:30" ht="15">
      <c r="AA1421"/>
      <c r="AB1421"/>
      <c r="AC1421"/>
      <c r="AD1421"/>
    </row>
    <row r="1422" spans="27:30" ht="15">
      <c r="AA1422"/>
      <c r="AB1422"/>
      <c r="AC1422"/>
      <c r="AD1422"/>
    </row>
    <row r="1423" spans="27:30" ht="15">
      <c r="AA1423"/>
      <c r="AB1423"/>
      <c r="AC1423"/>
      <c r="AD1423"/>
    </row>
    <row r="1424" spans="27:30" ht="15">
      <c r="AA1424"/>
      <c r="AB1424"/>
      <c r="AC1424"/>
      <c r="AD1424"/>
    </row>
    <row r="1425" spans="27:30" ht="15">
      <c r="AA1425"/>
      <c r="AB1425"/>
      <c r="AC1425"/>
      <c r="AD1425"/>
    </row>
    <row r="1426" spans="27:30" ht="15">
      <c r="AA1426"/>
      <c r="AB1426"/>
      <c r="AC1426"/>
      <c r="AD1426"/>
    </row>
    <row r="1427" spans="27:30" ht="15">
      <c r="AA1427"/>
      <c r="AB1427"/>
      <c r="AC1427"/>
      <c r="AD1427"/>
    </row>
    <row r="1428" spans="27:30" ht="15">
      <c r="AA1428"/>
      <c r="AB1428"/>
      <c r="AC1428"/>
      <c r="AD1428"/>
    </row>
    <row r="1429" spans="27:30" ht="15">
      <c r="AA1429"/>
      <c r="AB1429"/>
      <c r="AC1429"/>
      <c r="AD1429"/>
    </row>
    <row r="1430" spans="27:30" ht="15">
      <c r="AA1430"/>
      <c r="AB1430"/>
      <c r="AC1430"/>
      <c r="AD1430"/>
    </row>
    <row r="1431" spans="27:30" ht="15">
      <c r="AA1431"/>
      <c r="AB1431"/>
      <c r="AC1431"/>
      <c r="AD1431"/>
    </row>
    <row r="1432" spans="27:30" ht="15">
      <c r="AA1432"/>
      <c r="AB1432"/>
      <c r="AC1432"/>
      <c r="AD1432"/>
    </row>
    <row r="1433" spans="27:30" ht="15">
      <c r="AA1433"/>
      <c r="AB1433"/>
      <c r="AC1433"/>
      <c r="AD1433"/>
    </row>
    <row r="1434" spans="27:30" ht="15">
      <c r="AA1434"/>
      <c r="AB1434"/>
      <c r="AC1434"/>
      <c r="AD1434"/>
    </row>
    <row r="1435" spans="27:30" ht="15">
      <c r="AA1435"/>
      <c r="AB1435"/>
      <c r="AC1435"/>
      <c r="AD1435"/>
    </row>
    <row r="1436" spans="27:30" ht="15">
      <c r="AA1436"/>
      <c r="AB1436"/>
      <c r="AC1436"/>
      <c r="AD1436"/>
    </row>
    <row r="1437" spans="27:30" ht="15">
      <c r="AA1437"/>
      <c r="AB1437"/>
      <c r="AC1437"/>
      <c r="AD1437"/>
    </row>
    <row r="1438" spans="27:30" ht="15">
      <c r="AA1438"/>
      <c r="AB1438"/>
      <c r="AC1438"/>
      <c r="AD1438"/>
    </row>
    <row r="1439" spans="27:30" ht="15">
      <c r="AA1439"/>
      <c r="AB1439"/>
      <c r="AC1439"/>
      <c r="AD1439"/>
    </row>
    <row r="1440" spans="27:30" ht="15">
      <c r="AA1440"/>
      <c r="AB1440"/>
      <c r="AC1440"/>
      <c r="AD1440"/>
    </row>
    <row r="1441" spans="27:30" ht="15">
      <c r="AA1441"/>
      <c r="AB1441"/>
      <c r="AC1441"/>
      <c r="AD1441"/>
    </row>
    <row r="1442" spans="27:30" ht="15">
      <c r="AA1442"/>
      <c r="AB1442"/>
      <c r="AC1442"/>
      <c r="AD1442"/>
    </row>
    <row r="1443" spans="27:30" ht="15">
      <c r="AA1443"/>
      <c r="AB1443"/>
      <c r="AC1443"/>
      <c r="AD1443"/>
    </row>
    <row r="1444" spans="27:30" ht="15">
      <c r="AA1444"/>
      <c r="AB1444"/>
      <c r="AC1444"/>
      <c r="AD1444"/>
    </row>
    <row r="1445" spans="27:30" ht="15">
      <c r="AA1445"/>
      <c r="AB1445"/>
      <c r="AC1445"/>
      <c r="AD1445"/>
    </row>
    <row r="1446" spans="27:30" ht="15">
      <c r="AA1446"/>
      <c r="AB1446"/>
      <c r="AC1446"/>
      <c r="AD1446"/>
    </row>
    <row r="1447" spans="27:30" ht="15">
      <c r="AA1447"/>
      <c r="AB1447"/>
      <c r="AC1447"/>
      <c r="AD1447"/>
    </row>
    <row r="1448" spans="27:30" ht="15">
      <c r="AA1448"/>
      <c r="AB1448"/>
      <c r="AC1448"/>
      <c r="AD1448"/>
    </row>
    <row r="1449" spans="27:30" ht="15">
      <c r="AA1449"/>
      <c r="AB1449"/>
      <c r="AC1449"/>
      <c r="AD1449"/>
    </row>
    <row r="1450" spans="27:30" ht="15">
      <c r="AA1450"/>
      <c r="AB1450"/>
      <c r="AC1450"/>
      <c r="AD1450"/>
    </row>
    <row r="1451" spans="27:30" ht="15">
      <c r="AA1451"/>
      <c r="AB1451"/>
      <c r="AC1451"/>
      <c r="AD1451"/>
    </row>
    <row r="1452" spans="27:30" ht="15">
      <c r="AA1452"/>
      <c r="AB1452"/>
      <c r="AC1452"/>
      <c r="AD1452"/>
    </row>
    <row r="1453" spans="27:30" ht="15">
      <c r="AA1453"/>
      <c r="AB1453"/>
      <c r="AC1453"/>
      <c r="AD1453"/>
    </row>
    <row r="1454" spans="27:30" ht="15">
      <c r="AA1454"/>
      <c r="AB1454"/>
      <c r="AC1454"/>
      <c r="AD1454"/>
    </row>
    <row r="1455" spans="27:30" ht="15">
      <c r="AA1455"/>
      <c r="AB1455"/>
      <c r="AC1455"/>
      <c r="AD1455"/>
    </row>
    <row r="1456" spans="27:30" ht="15">
      <c r="AA1456"/>
      <c r="AB1456"/>
      <c r="AC1456"/>
      <c r="AD1456"/>
    </row>
    <row r="1457" spans="27:30" ht="15">
      <c r="AA1457"/>
      <c r="AB1457"/>
      <c r="AC1457"/>
      <c r="AD1457"/>
    </row>
    <row r="1458" spans="27:30" ht="15">
      <c r="AA1458"/>
      <c r="AB1458"/>
      <c r="AC1458"/>
      <c r="AD1458"/>
    </row>
    <row r="1459" spans="27:30" ht="15">
      <c r="AA1459"/>
      <c r="AB1459"/>
      <c r="AC1459"/>
      <c r="AD1459"/>
    </row>
    <row r="1460" spans="27:30" ht="15">
      <c r="AA1460"/>
      <c r="AB1460"/>
      <c r="AC1460"/>
      <c r="AD1460"/>
    </row>
    <row r="1461" spans="27:30" ht="15">
      <c r="AA1461"/>
      <c r="AB1461"/>
      <c r="AC1461"/>
      <c r="AD1461"/>
    </row>
    <row r="1462" spans="27:30" ht="15">
      <c r="AA1462"/>
      <c r="AB1462"/>
      <c r="AC1462"/>
      <c r="AD1462"/>
    </row>
    <row r="1463" spans="27:30" ht="15">
      <c r="AA1463"/>
      <c r="AB1463"/>
      <c r="AC1463"/>
      <c r="AD1463"/>
    </row>
    <row r="1464" spans="27:30" ht="15">
      <c r="AA1464"/>
      <c r="AB1464"/>
      <c r="AC1464"/>
      <c r="AD1464"/>
    </row>
    <row r="1465" spans="27:30" ht="15">
      <c r="AA1465"/>
      <c r="AB1465"/>
      <c r="AC1465"/>
      <c r="AD1465"/>
    </row>
    <row r="1466" spans="27:30" ht="15">
      <c r="AA1466"/>
      <c r="AB1466"/>
      <c r="AC1466"/>
      <c r="AD1466"/>
    </row>
    <row r="1467" spans="27:30" ht="15">
      <c r="AA1467"/>
      <c r="AB1467"/>
      <c r="AC1467"/>
      <c r="AD1467"/>
    </row>
    <row r="1468" spans="27:30" ht="15">
      <c r="AA1468"/>
      <c r="AB1468"/>
      <c r="AC1468"/>
      <c r="AD1468"/>
    </row>
    <row r="1469" spans="27:30" ht="15">
      <c r="AA1469"/>
      <c r="AB1469"/>
      <c r="AC1469"/>
      <c r="AD1469"/>
    </row>
    <row r="1470" spans="27:30" ht="15">
      <c r="AA1470"/>
      <c r="AB1470"/>
      <c r="AC1470"/>
      <c r="AD1470"/>
    </row>
    <row r="1471" spans="27:30" ht="15">
      <c r="AA1471"/>
      <c r="AB1471"/>
      <c r="AC1471"/>
      <c r="AD1471"/>
    </row>
    <row r="1472" spans="27:30" ht="15">
      <c r="AA1472"/>
      <c r="AB1472"/>
      <c r="AC1472"/>
      <c r="AD1472"/>
    </row>
    <row r="1473" spans="27:30" ht="15">
      <c r="AA1473"/>
      <c r="AB1473"/>
      <c r="AC1473"/>
      <c r="AD1473"/>
    </row>
    <row r="1474" spans="27:30" ht="15">
      <c r="AA1474"/>
      <c r="AB1474"/>
      <c r="AC1474"/>
      <c r="AD1474"/>
    </row>
    <row r="1475" spans="27:30" ht="15">
      <c r="AA1475"/>
      <c r="AB1475"/>
      <c r="AC1475"/>
      <c r="AD1475"/>
    </row>
    <row r="1476" spans="27:30" ht="15">
      <c r="AA1476"/>
      <c r="AB1476"/>
      <c r="AC1476"/>
      <c r="AD1476"/>
    </row>
    <row r="1477" spans="27:30" ht="15">
      <c r="AA1477"/>
      <c r="AB1477"/>
      <c r="AC1477"/>
      <c r="AD1477"/>
    </row>
    <row r="1478" spans="27:30" ht="15">
      <c r="AA1478"/>
      <c r="AB1478"/>
      <c r="AC1478"/>
      <c r="AD1478"/>
    </row>
    <row r="1479" spans="27:30" ht="15">
      <c r="AA1479"/>
      <c r="AB1479"/>
      <c r="AC1479"/>
      <c r="AD1479"/>
    </row>
    <row r="1480" spans="27:30" ht="15">
      <c r="AA1480"/>
      <c r="AB1480"/>
      <c r="AC1480"/>
      <c r="AD1480"/>
    </row>
    <row r="1481" spans="27:30" ht="15">
      <c r="AA1481"/>
      <c r="AB1481"/>
      <c r="AC1481"/>
      <c r="AD1481"/>
    </row>
    <row r="1482" spans="27:30" ht="15">
      <c r="AA1482"/>
      <c r="AB1482"/>
      <c r="AC1482"/>
      <c r="AD1482"/>
    </row>
    <row r="1483" spans="27:30" ht="15">
      <c r="AA1483"/>
      <c r="AB1483"/>
      <c r="AC1483"/>
      <c r="AD1483"/>
    </row>
    <row r="1484" spans="27:30" ht="15">
      <c r="AA1484"/>
      <c r="AB1484"/>
      <c r="AC1484"/>
      <c r="AD1484"/>
    </row>
    <row r="1485" spans="27:30" ht="15">
      <c r="AA1485"/>
      <c r="AB1485"/>
      <c r="AC1485"/>
      <c r="AD1485"/>
    </row>
    <row r="1486" spans="27:30" ht="15">
      <c r="AA1486"/>
      <c r="AB1486"/>
      <c r="AC1486"/>
      <c r="AD1486"/>
    </row>
    <row r="1487" spans="27:30" ht="15">
      <c r="AA1487"/>
      <c r="AB1487"/>
      <c r="AC1487"/>
      <c r="AD1487"/>
    </row>
    <row r="1488" spans="27:30" ht="15">
      <c r="AA1488"/>
      <c r="AB1488"/>
      <c r="AC1488"/>
      <c r="AD1488"/>
    </row>
    <row r="1489" spans="27:30" ht="15">
      <c r="AA1489"/>
      <c r="AB1489"/>
      <c r="AC1489"/>
      <c r="AD1489"/>
    </row>
    <row r="1490" spans="27:30" ht="15">
      <c r="AA1490"/>
      <c r="AB1490"/>
      <c r="AC1490"/>
      <c r="AD1490"/>
    </row>
    <row r="1491" spans="27:30" ht="15">
      <c r="AA1491"/>
      <c r="AB1491"/>
      <c r="AC1491"/>
      <c r="AD1491"/>
    </row>
    <row r="1492" spans="27:30" ht="15">
      <c r="AA1492"/>
      <c r="AB1492"/>
      <c r="AC1492"/>
      <c r="AD1492"/>
    </row>
    <row r="1493" spans="27:30" ht="15">
      <c r="AA1493"/>
      <c r="AB1493"/>
      <c r="AC1493"/>
      <c r="AD1493"/>
    </row>
    <row r="1494" spans="27:30" ht="15">
      <c r="AA1494"/>
      <c r="AB1494"/>
      <c r="AC1494"/>
      <c r="AD1494"/>
    </row>
    <row r="1495" spans="27:30" ht="15">
      <c r="AA1495"/>
      <c r="AB1495"/>
      <c r="AC1495"/>
      <c r="AD1495"/>
    </row>
    <row r="1496" spans="27:30" ht="15">
      <c r="AA1496"/>
      <c r="AB1496"/>
      <c r="AC1496"/>
      <c r="AD1496"/>
    </row>
    <row r="1497" spans="27:30" ht="15">
      <c r="AA1497"/>
      <c r="AB1497"/>
      <c r="AC1497"/>
      <c r="AD1497"/>
    </row>
    <row r="1498" spans="27:30" ht="15">
      <c r="AA1498"/>
      <c r="AB1498"/>
      <c r="AC1498"/>
      <c r="AD1498"/>
    </row>
    <row r="1499" spans="27:30" ht="15">
      <c r="AA1499"/>
      <c r="AB1499"/>
      <c r="AC1499"/>
      <c r="AD1499"/>
    </row>
    <row r="1500" spans="27:30" ht="15">
      <c r="AA1500"/>
      <c r="AB1500"/>
      <c r="AC1500"/>
      <c r="AD1500"/>
    </row>
    <row r="1501" spans="27:30" ht="15">
      <c r="AA1501"/>
      <c r="AB1501"/>
      <c r="AC1501"/>
      <c r="AD1501"/>
    </row>
    <row r="1502" spans="27:30" ht="15">
      <c r="AA1502"/>
      <c r="AB1502"/>
      <c r="AC1502"/>
      <c r="AD1502"/>
    </row>
    <row r="1503" spans="27:30" ht="15">
      <c r="AA1503"/>
      <c r="AB1503"/>
      <c r="AC1503"/>
      <c r="AD1503"/>
    </row>
    <row r="1504" spans="27:30" ht="15">
      <c r="AA1504"/>
      <c r="AB1504"/>
      <c r="AC1504"/>
      <c r="AD1504"/>
    </row>
    <row r="1505" spans="27:30" ht="15">
      <c r="AA1505"/>
      <c r="AB1505"/>
      <c r="AC1505"/>
      <c r="AD1505"/>
    </row>
    <row r="1506" spans="27:30" ht="15">
      <c r="AA1506"/>
      <c r="AB1506"/>
      <c r="AC1506"/>
      <c r="AD1506"/>
    </row>
    <row r="1507" spans="27:30" ht="15">
      <c r="AA1507"/>
      <c r="AB1507"/>
      <c r="AC1507"/>
      <c r="AD1507"/>
    </row>
    <row r="1508" spans="27:30" ht="15">
      <c r="AA1508"/>
      <c r="AB1508"/>
      <c r="AC1508"/>
      <c r="AD1508"/>
    </row>
    <row r="1509" spans="27:30" ht="15">
      <c r="AA1509"/>
      <c r="AB1509"/>
      <c r="AC1509"/>
      <c r="AD1509"/>
    </row>
    <row r="1510" spans="27:30" ht="15">
      <c r="AA1510"/>
      <c r="AB1510"/>
      <c r="AC1510"/>
      <c r="AD1510"/>
    </row>
    <row r="1511" spans="27:30" ht="15">
      <c r="AA1511"/>
      <c r="AB1511"/>
      <c r="AC1511"/>
      <c r="AD1511"/>
    </row>
    <row r="1512" spans="27:30" ht="15">
      <c r="AA1512"/>
      <c r="AB1512"/>
      <c r="AC1512"/>
      <c r="AD1512"/>
    </row>
    <row r="1513" spans="27:30" ht="15">
      <c r="AA1513"/>
      <c r="AB1513"/>
      <c r="AC1513"/>
      <c r="AD1513"/>
    </row>
    <row r="1514" spans="27:30" ht="15">
      <c r="AA1514"/>
      <c r="AB1514"/>
      <c r="AC1514"/>
      <c r="AD1514"/>
    </row>
    <row r="1515" spans="27:30" ht="15">
      <c r="AA1515"/>
      <c r="AB1515"/>
      <c r="AC1515"/>
      <c r="AD1515"/>
    </row>
    <row r="1516" spans="27:30" ht="15">
      <c r="AA1516"/>
      <c r="AB1516"/>
      <c r="AC1516"/>
      <c r="AD1516"/>
    </row>
    <row r="1517" spans="27:30" ht="15">
      <c r="AA1517"/>
      <c r="AB1517"/>
      <c r="AC1517"/>
      <c r="AD1517"/>
    </row>
    <row r="1518" spans="27:30" ht="15">
      <c r="AA1518"/>
      <c r="AB1518"/>
      <c r="AC1518"/>
      <c r="AD1518"/>
    </row>
    <row r="1519" spans="27:30" ht="15">
      <c r="AA1519"/>
      <c r="AB1519"/>
      <c r="AC1519"/>
      <c r="AD1519"/>
    </row>
    <row r="1520" spans="27:30" ht="15">
      <c r="AA1520"/>
      <c r="AB1520"/>
      <c r="AC1520"/>
      <c r="AD1520"/>
    </row>
    <row r="1521" spans="27:30" ht="15">
      <c r="AA1521"/>
      <c r="AB1521"/>
      <c r="AC1521"/>
      <c r="AD1521"/>
    </row>
    <row r="1522" spans="27:30" ht="15">
      <c r="AA1522"/>
      <c r="AB1522"/>
      <c r="AC1522"/>
      <c r="AD1522"/>
    </row>
    <row r="1523" spans="27:30" ht="15">
      <c r="AA1523"/>
      <c r="AB1523"/>
      <c r="AC1523"/>
      <c r="AD1523"/>
    </row>
    <row r="1524" spans="27:30" ht="15">
      <c r="AA1524"/>
      <c r="AB1524"/>
      <c r="AC1524"/>
      <c r="AD1524"/>
    </row>
    <row r="1525" spans="27:30" ht="15">
      <c r="AA1525"/>
      <c r="AB1525"/>
      <c r="AC1525"/>
      <c r="AD1525"/>
    </row>
    <row r="1526" spans="27:30" ht="15">
      <c r="AA1526"/>
      <c r="AB1526"/>
      <c r="AC1526"/>
      <c r="AD1526"/>
    </row>
    <row r="1527" spans="27:30" ht="15">
      <c r="AA1527"/>
      <c r="AB1527"/>
      <c r="AC1527"/>
      <c r="AD1527"/>
    </row>
    <row r="1528" spans="27:30" ht="15">
      <c r="AA1528"/>
      <c r="AB1528"/>
      <c r="AC1528"/>
      <c r="AD1528"/>
    </row>
    <row r="1529" spans="27:30" ht="15">
      <c r="AA1529"/>
      <c r="AB1529"/>
      <c r="AC1529"/>
      <c r="AD1529"/>
    </row>
    <row r="1530" spans="27:30" ht="15">
      <c r="AA1530"/>
      <c r="AB1530"/>
      <c r="AC1530"/>
      <c r="AD1530"/>
    </row>
    <row r="1531" spans="27:30" ht="15">
      <c r="AA1531"/>
      <c r="AB1531"/>
      <c r="AC1531"/>
      <c r="AD1531"/>
    </row>
    <row r="1532" spans="27:30" ht="15">
      <c r="AA1532"/>
      <c r="AB1532"/>
      <c r="AC1532"/>
      <c r="AD1532"/>
    </row>
    <row r="1533" spans="27:30" ht="15">
      <c r="AA1533"/>
      <c r="AB1533"/>
      <c r="AC1533"/>
      <c r="AD1533"/>
    </row>
    <row r="1534" spans="27:30" ht="15">
      <c r="AA1534"/>
      <c r="AB1534"/>
      <c r="AC1534"/>
      <c r="AD1534"/>
    </row>
    <row r="1535" spans="27:30" ht="15">
      <c r="AA1535"/>
      <c r="AB1535"/>
      <c r="AC1535"/>
      <c r="AD1535"/>
    </row>
    <row r="1536" spans="27:30" ht="15">
      <c r="AA1536"/>
      <c r="AB1536"/>
      <c r="AC1536"/>
      <c r="AD1536"/>
    </row>
    <row r="1537" spans="27:30" ht="15">
      <c r="AA1537"/>
      <c r="AB1537"/>
      <c r="AC1537"/>
      <c r="AD1537"/>
    </row>
    <row r="1538" spans="27:30" ht="15">
      <c r="AA1538"/>
      <c r="AB1538"/>
      <c r="AC1538"/>
      <c r="AD1538"/>
    </row>
    <row r="1539" spans="27:30" ht="15">
      <c r="AA1539"/>
      <c r="AB1539"/>
      <c r="AC1539"/>
      <c r="AD1539"/>
    </row>
    <row r="1540" spans="27:30" ht="15">
      <c r="AA1540"/>
      <c r="AB1540"/>
      <c r="AC1540"/>
      <c r="AD1540"/>
    </row>
    <row r="1541" spans="27:30" ht="15">
      <c r="AA1541"/>
      <c r="AB1541"/>
      <c r="AC1541"/>
      <c r="AD1541"/>
    </row>
    <row r="1542" spans="27:30" ht="15">
      <c r="AA1542"/>
      <c r="AB1542"/>
      <c r="AC1542"/>
      <c r="AD1542"/>
    </row>
    <row r="1543" spans="27:30" ht="15">
      <c r="AA1543"/>
      <c r="AB1543"/>
      <c r="AC1543"/>
      <c r="AD1543"/>
    </row>
    <row r="1544" spans="27:30" ht="15">
      <c r="AA1544"/>
      <c r="AB1544"/>
      <c r="AC1544"/>
      <c r="AD1544"/>
    </row>
    <row r="1545" spans="27:30" ht="15">
      <c r="AA1545"/>
      <c r="AB1545"/>
      <c r="AC1545"/>
      <c r="AD1545"/>
    </row>
    <row r="1546" spans="27:30" ht="15">
      <c r="AA1546"/>
      <c r="AB1546"/>
      <c r="AC1546"/>
      <c r="AD1546"/>
    </row>
    <row r="1547" spans="27:30" ht="15">
      <c r="AA1547"/>
      <c r="AB1547"/>
      <c r="AC1547"/>
      <c r="AD1547"/>
    </row>
    <row r="1548" spans="27:30" ht="15">
      <c r="AA1548"/>
      <c r="AB1548"/>
      <c r="AC1548"/>
      <c r="AD1548"/>
    </row>
    <row r="1549" spans="27:30" ht="15">
      <c r="AA1549"/>
      <c r="AB1549"/>
      <c r="AC1549"/>
      <c r="AD1549"/>
    </row>
    <row r="1550" spans="27:30" ht="15">
      <c r="AA1550"/>
      <c r="AB1550"/>
      <c r="AC1550"/>
      <c r="AD1550"/>
    </row>
    <row r="1551" spans="27:30" ht="15">
      <c r="AA1551"/>
      <c r="AB1551"/>
      <c r="AC1551"/>
      <c r="AD1551"/>
    </row>
    <row r="1552" spans="27:30" ht="15">
      <c r="AA1552"/>
      <c r="AB1552"/>
      <c r="AC1552"/>
      <c r="AD1552"/>
    </row>
    <row r="1553" spans="27:30" ht="15">
      <c r="AA1553"/>
      <c r="AB1553"/>
      <c r="AC1553"/>
      <c r="AD1553"/>
    </row>
    <row r="1554" spans="27:30" ht="15">
      <c r="AA1554"/>
      <c r="AB1554"/>
      <c r="AC1554"/>
      <c r="AD1554"/>
    </row>
    <row r="1555" spans="27:30" ht="15">
      <c r="AA1555"/>
      <c r="AB1555"/>
      <c r="AC1555"/>
      <c r="AD1555"/>
    </row>
    <row r="1556" spans="27:30" ht="15">
      <c r="AA1556"/>
      <c r="AB1556"/>
      <c r="AC1556"/>
      <c r="AD1556"/>
    </row>
    <row r="1557" spans="27:30" ht="15">
      <c r="AA1557"/>
      <c r="AB1557"/>
      <c r="AC1557"/>
      <c r="AD1557"/>
    </row>
    <row r="1558" spans="27:30" ht="15">
      <c r="AA1558"/>
      <c r="AB1558"/>
      <c r="AC1558"/>
      <c r="AD1558"/>
    </row>
    <row r="1559" spans="27:30" ht="15">
      <c r="AA1559"/>
      <c r="AB1559"/>
      <c r="AC1559"/>
      <c r="AD1559"/>
    </row>
    <row r="1560" spans="27:30" ht="15">
      <c r="AA1560"/>
      <c r="AB1560"/>
      <c r="AC1560"/>
      <c r="AD1560"/>
    </row>
    <row r="1561" spans="27:30" ht="15">
      <c r="AA1561"/>
      <c r="AB1561"/>
      <c r="AC1561"/>
      <c r="AD1561"/>
    </row>
    <row r="1562" spans="27:30" ht="15">
      <c r="AA1562"/>
      <c r="AB1562"/>
      <c r="AC1562"/>
      <c r="AD1562"/>
    </row>
    <row r="1563" spans="27:30" ht="15">
      <c r="AA1563"/>
      <c r="AB1563"/>
      <c r="AC1563"/>
      <c r="AD1563"/>
    </row>
    <row r="1564" spans="27:30" ht="15">
      <c r="AA1564"/>
      <c r="AB1564"/>
      <c r="AC1564"/>
      <c r="AD1564"/>
    </row>
    <row r="1565" spans="27:30" ht="15">
      <c r="AA1565"/>
      <c r="AB1565"/>
      <c r="AC1565"/>
      <c r="AD1565"/>
    </row>
    <row r="1566" spans="27:30" ht="15">
      <c r="AA1566"/>
      <c r="AB1566"/>
      <c r="AC1566"/>
      <c r="AD1566"/>
    </row>
    <row r="1567" spans="27:30" ht="15">
      <c r="AA1567"/>
      <c r="AB1567"/>
      <c r="AC1567"/>
      <c r="AD1567"/>
    </row>
    <row r="1568" spans="27:30" ht="15">
      <c r="AA1568"/>
      <c r="AB1568"/>
      <c r="AC1568"/>
      <c r="AD1568"/>
    </row>
    <row r="1569" spans="27:30" ht="15">
      <c r="AA1569"/>
      <c r="AB1569"/>
      <c r="AC1569"/>
      <c r="AD1569"/>
    </row>
    <row r="1570" spans="27:30" ht="15">
      <c r="AA1570"/>
      <c r="AB1570"/>
      <c r="AC1570"/>
      <c r="AD1570"/>
    </row>
    <row r="1571" spans="27:30" ht="15">
      <c r="AA1571"/>
      <c r="AB1571"/>
      <c r="AC1571"/>
      <c r="AD1571"/>
    </row>
    <row r="1572" spans="27:30" ht="15">
      <c r="AA1572"/>
      <c r="AB1572"/>
      <c r="AC1572"/>
      <c r="AD1572"/>
    </row>
    <row r="1573" spans="27:30" ht="15">
      <c r="AA1573"/>
      <c r="AB1573"/>
      <c r="AC1573"/>
      <c r="AD1573"/>
    </row>
    <row r="1574" spans="27:30" ht="15">
      <c r="AA1574"/>
      <c r="AB1574"/>
      <c r="AC1574"/>
      <c r="AD1574"/>
    </row>
    <row r="1575" spans="27:30" ht="15">
      <c r="AA1575"/>
      <c r="AB1575"/>
      <c r="AC1575"/>
      <c r="AD1575"/>
    </row>
    <row r="1576" spans="27:30" ht="15">
      <c r="AA1576"/>
      <c r="AB1576"/>
      <c r="AC1576"/>
      <c r="AD1576"/>
    </row>
    <row r="1577" spans="27:30" ht="15">
      <c r="AA1577"/>
      <c r="AB1577"/>
      <c r="AC1577"/>
      <c r="AD1577"/>
    </row>
    <row r="1578" spans="27:30" ht="15">
      <c r="AA1578"/>
      <c r="AB1578"/>
      <c r="AC1578"/>
      <c r="AD1578"/>
    </row>
    <row r="1579" spans="27:30" ht="15">
      <c r="AA1579"/>
      <c r="AB1579"/>
      <c r="AC1579"/>
      <c r="AD1579"/>
    </row>
    <row r="1580" spans="27:30" ht="15">
      <c r="AA1580"/>
      <c r="AB1580"/>
      <c r="AC1580"/>
      <c r="AD1580"/>
    </row>
    <row r="1581" spans="27:30" ht="15">
      <c r="AA1581"/>
      <c r="AB1581"/>
      <c r="AC1581"/>
      <c r="AD1581"/>
    </row>
    <row r="1582" spans="27:30" ht="15">
      <c r="AA1582"/>
      <c r="AB1582"/>
      <c r="AC1582"/>
      <c r="AD1582"/>
    </row>
    <row r="1583" spans="27:30" ht="15">
      <c r="AA1583"/>
      <c r="AB1583"/>
      <c r="AC1583"/>
      <c r="AD1583"/>
    </row>
    <row r="1584" spans="27:30" ht="15">
      <c r="AA1584"/>
      <c r="AB1584"/>
      <c r="AC1584"/>
      <c r="AD1584"/>
    </row>
    <row r="1585" spans="27:30" ht="15">
      <c r="AA1585"/>
      <c r="AB1585"/>
      <c r="AC1585"/>
      <c r="AD1585"/>
    </row>
    <row r="1586" spans="27:30" ht="15">
      <c r="AA1586"/>
      <c r="AB1586"/>
      <c r="AC1586"/>
      <c r="AD1586"/>
    </row>
    <row r="1587" spans="27:30" ht="15">
      <c r="AA1587"/>
      <c r="AB1587"/>
      <c r="AC1587"/>
      <c r="AD1587"/>
    </row>
    <row r="1588" spans="27:30" ht="15">
      <c r="AA1588"/>
      <c r="AB1588"/>
      <c r="AC1588"/>
      <c r="AD1588"/>
    </row>
    <row r="1589" spans="27:30" ht="15">
      <c r="AA1589"/>
      <c r="AB1589"/>
      <c r="AC1589"/>
      <c r="AD1589"/>
    </row>
    <row r="1590" spans="27:30" ht="15">
      <c r="AA1590"/>
      <c r="AB1590"/>
      <c r="AC1590"/>
      <c r="AD1590"/>
    </row>
    <row r="1591" spans="27:30" ht="15">
      <c r="AA1591"/>
      <c r="AB1591"/>
      <c r="AC1591"/>
      <c r="AD1591"/>
    </row>
    <row r="1592" spans="27:30" ht="15">
      <c r="AA1592"/>
      <c r="AB1592"/>
      <c r="AC1592"/>
      <c r="AD1592"/>
    </row>
    <row r="1593" spans="27:30" ht="15">
      <c r="AA1593"/>
      <c r="AB1593"/>
      <c r="AC1593"/>
      <c r="AD1593"/>
    </row>
    <row r="1594" spans="27:30" ht="15">
      <c r="AA1594"/>
      <c r="AB1594"/>
      <c r="AC1594"/>
      <c r="AD1594"/>
    </row>
    <row r="1595" spans="27:30" ht="15">
      <c r="AA1595"/>
      <c r="AB1595"/>
      <c r="AC1595"/>
      <c r="AD1595"/>
    </row>
    <row r="1596" spans="27:30" ht="15">
      <c r="AA1596"/>
      <c r="AB1596"/>
      <c r="AC1596"/>
      <c r="AD1596"/>
    </row>
    <row r="1597" spans="27:30" ht="15">
      <c r="AA1597"/>
      <c r="AB1597"/>
      <c r="AC1597"/>
      <c r="AD1597"/>
    </row>
    <row r="1598" spans="27:30" ht="15">
      <c r="AA1598"/>
      <c r="AB1598"/>
      <c r="AC1598"/>
      <c r="AD1598"/>
    </row>
    <row r="1599" spans="27:30" ht="15">
      <c r="AA1599"/>
      <c r="AB1599"/>
      <c r="AC1599"/>
      <c r="AD1599"/>
    </row>
    <row r="1600" spans="27:30" ht="15">
      <c r="AA1600"/>
      <c r="AB1600"/>
      <c r="AC1600"/>
      <c r="AD1600"/>
    </row>
    <row r="1601" spans="27:30" ht="15">
      <c r="AA1601"/>
      <c r="AB1601"/>
      <c r="AC1601"/>
      <c r="AD1601"/>
    </row>
    <row r="1602" spans="27:30" ht="15">
      <c r="AA1602"/>
      <c r="AB1602"/>
      <c r="AC1602"/>
      <c r="AD1602"/>
    </row>
    <row r="1603" spans="27:30" ht="15">
      <c r="AA1603"/>
      <c r="AB1603"/>
      <c r="AC1603"/>
      <c r="AD1603"/>
    </row>
    <row r="1604" spans="27:30" ht="15">
      <c r="AA1604"/>
      <c r="AB1604"/>
      <c r="AC1604"/>
      <c r="AD1604"/>
    </row>
    <row r="1605" spans="27:30" ht="15">
      <c r="AA1605"/>
      <c r="AB1605"/>
      <c r="AC1605"/>
      <c r="AD1605"/>
    </row>
    <row r="1606" spans="27:30" ht="15">
      <c r="AA1606"/>
      <c r="AB1606"/>
      <c r="AC1606"/>
      <c r="AD1606"/>
    </row>
    <row r="1607" spans="27:30" ht="15">
      <c r="AA1607"/>
      <c r="AB1607"/>
      <c r="AC1607"/>
      <c r="AD1607"/>
    </row>
    <row r="1608" spans="27:30" ht="15">
      <c r="AA1608"/>
      <c r="AB1608"/>
      <c r="AC1608"/>
      <c r="AD1608"/>
    </row>
    <row r="1609" spans="27:30" ht="15">
      <c r="AA1609"/>
      <c r="AB1609"/>
      <c r="AC1609"/>
      <c r="AD1609"/>
    </row>
    <row r="1610" spans="27:30" ht="15">
      <c r="AA1610"/>
      <c r="AB1610"/>
      <c r="AC1610"/>
      <c r="AD1610"/>
    </row>
    <row r="1611" spans="27:30" ht="15">
      <c r="AA1611"/>
      <c r="AB1611"/>
      <c r="AC1611"/>
      <c r="AD1611"/>
    </row>
    <row r="1612" spans="27:30" ht="15">
      <c r="AA1612"/>
      <c r="AB1612"/>
      <c r="AC1612"/>
      <c r="AD1612"/>
    </row>
    <row r="1613" spans="27:30" ht="15">
      <c r="AA1613"/>
      <c r="AB1613"/>
      <c r="AC1613"/>
      <c r="AD1613"/>
    </row>
    <row r="1614" spans="27:30" ht="15">
      <c r="AA1614"/>
      <c r="AB1614"/>
      <c r="AC1614"/>
      <c r="AD1614"/>
    </row>
    <row r="1615" spans="27:30" ht="15">
      <c r="AA1615"/>
      <c r="AB1615"/>
      <c r="AC1615"/>
      <c r="AD1615"/>
    </row>
    <row r="1616" spans="27:30" ht="15">
      <c r="AA1616"/>
      <c r="AB1616"/>
      <c r="AC1616"/>
      <c r="AD1616"/>
    </row>
    <row r="1617" spans="27:30" ht="15">
      <c r="AA1617"/>
      <c r="AB1617"/>
      <c r="AC1617"/>
      <c r="AD1617"/>
    </row>
    <row r="1618" spans="27:30" ht="15">
      <c r="AA1618"/>
      <c r="AB1618"/>
      <c r="AC1618"/>
      <c r="AD1618"/>
    </row>
    <row r="1619" spans="27:30" ht="15">
      <c r="AA1619"/>
      <c r="AB1619"/>
      <c r="AC1619"/>
      <c r="AD1619"/>
    </row>
    <row r="1620" spans="27:30" ht="15">
      <c r="AA1620"/>
      <c r="AB1620"/>
      <c r="AC1620"/>
      <c r="AD1620"/>
    </row>
    <row r="1621" spans="27:30" ht="15">
      <c r="AA1621"/>
      <c r="AB1621"/>
      <c r="AC1621"/>
      <c r="AD1621"/>
    </row>
    <row r="1622" spans="27:30" ht="15">
      <c r="AA1622"/>
      <c r="AB1622"/>
      <c r="AC1622"/>
      <c r="AD1622"/>
    </row>
    <row r="1623" spans="27:30" ht="15">
      <c r="AA1623"/>
      <c r="AB1623"/>
      <c r="AC1623"/>
      <c r="AD1623"/>
    </row>
    <row r="1624" spans="27:30" ht="15">
      <c r="AA1624"/>
      <c r="AB1624"/>
      <c r="AC1624"/>
      <c r="AD1624"/>
    </row>
    <row r="1625" spans="27:30" ht="15">
      <c r="AA1625"/>
      <c r="AB1625"/>
      <c r="AC1625"/>
      <c r="AD1625"/>
    </row>
    <row r="1626" spans="27:30" ht="15">
      <c r="AA1626"/>
      <c r="AB1626"/>
      <c r="AC1626"/>
      <c r="AD1626"/>
    </row>
    <row r="1627" spans="27:30" ht="15">
      <c r="AA1627"/>
      <c r="AB1627"/>
      <c r="AC1627"/>
      <c r="AD1627"/>
    </row>
    <row r="1628" spans="27:30" ht="15">
      <c r="AA1628"/>
      <c r="AB1628"/>
      <c r="AC1628"/>
      <c r="AD1628"/>
    </row>
    <row r="1629" spans="27:30" ht="15">
      <c r="AA1629"/>
      <c r="AB1629"/>
      <c r="AC1629"/>
      <c r="AD1629"/>
    </row>
    <row r="1630" spans="27:30" ht="15">
      <c r="AA1630"/>
      <c r="AB1630"/>
      <c r="AC1630"/>
      <c r="AD1630"/>
    </row>
    <row r="1631" spans="27:30" ht="15">
      <c r="AA1631"/>
      <c r="AB1631"/>
      <c r="AC1631"/>
      <c r="AD1631"/>
    </row>
    <row r="1632" spans="27:30" ht="15">
      <c r="AA1632"/>
      <c r="AB1632"/>
      <c r="AC1632"/>
      <c r="AD1632"/>
    </row>
    <row r="1633" spans="27:30" ht="15">
      <c r="AA1633"/>
      <c r="AB1633"/>
      <c r="AC1633"/>
      <c r="AD1633"/>
    </row>
    <row r="1634" spans="27:30" ht="15">
      <c r="AA1634"/>
      <c r="AB1634"/>
      <c r="AC1634"/>
      <c r="AD1634"/>
    </row>
    <row r="1635" spans="27:30" ht="15">
      <c r="AA1635"/>
      <c r="AB1635"/>
      <c r="AC1635"/>
      <c r="AD1635"/>
    </row>
    <row r="1636" spans="27:30" ht="15">
      <c r="AA1636"/>
      <c r="AB1636"/>
      <c r="AC1636"/>
      <c r="AD1636"/>
    </row>
    <row r="1637" spans="27:30" ht="15">
      <c r="AA1637"/>
      <c r="AB1637"/>
      <c r="AC1637"/>
      <c r="AD1637"/>
    </row>
    <row r="1638" spans="27:30" ht="15">
      <c r="AA1638"/>
      <c r="AB1638"/>
      <c r="AC1638"/>
      <c r="AD1638"/>
    </row>
    <row r="1639" spans="27:30" ht="15">
      <c r="AA1639"/>
      <c r="AB1639"/>
      <c r="AC1639"/>
      <c r="AD1639"/>
    </row>
    <row r="1640" spans="27:30" ht="15">
      <c r="AA1640"/>
      <c r="AB1640"/>
      <c r="AC1640"/>
      <c r="AD1640"/>
    </row>
    <row r="1641" spans="27:30" ht="15">
      <c r="AA1641"/>
      <c r="AB1641"/>
      <c r="AC1641"/>
      <c r="AD1641"/>
    </row>
    <row r="1642" spans="27:30" ht="15">
      <c r="AA1642"/>
      <c r="AB1642"/>
      <c r="AC1642"/>
      <c r="AD1642"/>
    </row>
    <row r="1643" spans="27:30" ht="15">
      <c r="AA1643"/>
      <c r="AB1643"/>
      <c r="AC1643"/>
      <c r="AD1643"/>
    </row>
    <row r="1644" spans="27:30" ht="15">
      <c r="AA1644"/>
      <c r="AB1644"/>
      <c r="AC1644"/>
      <c r="AD1644"/>
    </row>
    <row r="1645" spans="27:30" ht="15">
      <c r="AA1645"/>
      <c r="AB1645"/>
      <c r="AC1645"/>
      <c r="AD1645"/>
    </row>
    <row r="1646" spans="27:30" ht="15">
      <c r="AA1646"/>
      <c r="AB1646"/>
      <c r="AC1646"/>
      <c r="AD1646"/>
    </row>
    <row r="1647" spans="27:30" ht="15">
      <c r="AA1647"/>
      <c r="AB1647"/>
      <c r="AC1647"/>
      <c r="AD1647"/>
    </row>
    <row r="1648" spans="27:30" ht="15">
      <c r="AA1648"/>
      <c r="AB1648"/>
      <c r="AC1648"/>
      <c r="AD1648"/>
    </row>
    <row r="1649" spans="27:30" ht="15">
      <c r="AA1649"/>
      <c r="AB1649"/>
      <c r="AC1649"/>
      <c r="AD1649"/>
    </row>
    <row r="1650" spans="27:30" ht="15">
      <c r="AA1650"/>
      <c r="AB1650"/>
      <c r="AC1650"/>
      <c r="AD1650"/>
    </row>
    <row r="1651" spans="27:30" ht="15">
      <c r="AA1651"/>
      <c r="AB1651"/>
      <c r="AC1651"/>
      <c r="AD1651"/>
    </row>
    <row r="1652" spans="27:30" ht="15">
      <c r="AA1652"/>
      <c r="AB1652"/>
      <c r="AC1652"/>
      <c r="AD1652"/>
    </row>
    <row r="1653" spans="27:30" ht="15">
      <c r="AA1653"/>
      <c r="AB1653"/>
      <c r="AC1653"/>
      <c r="AD1653"/>
    </row>
    <row r="1654" spans="27:30" ht="15">
      <c r="AA1654"/>
      <c r="AB1654"/>
      <c r="AC1654"/>
      <c r="AD1654"/>
    </row>
    <row r="1655" spans="27:30" ht="15">
      <c r="AA1655"/>
      <c r="AB1655"/>
      <c r="AC1655"/>
      <c r="AD1655"/>
    </row>
    <row r="1656" spans="27:30" ht="15">
      <c r="AA1656"/>
      <c r="AB1656"/>
      <c r="AC1656"/>
      <c r="AD1656"/>
    </row>
    <row r="1657" spans="27:30" ht="15">
      <c r="AA1657"/>
      <c r="AB1657"/>
      <c r="AC1657"/>
      <c r="AD1657"/>
    </row>
    <row r="1658" spans="27:30" ht="15">
      <c r="AA1658"/>
      <c r="AB1658"/>
      <c r="AC1658"/>
      <c r="AD1658"/>
    </row>
    <row r="1659" spans="27:30" ht="15">
      <c r="AA1659"/>
      <c r="AB1659"/>
      <c r="AC1659"/>
      <c r="AD1659"/>
    </row>
    <row r="1660" spans="27:30" ht="15">
      <c r="AA1660"/>
      <c r="AB1660"/>
      <c r="AC1660"/>
      <c r="AD1660"/>
    </row>
    <row r="1661" spans="27:30" ht="15">
      <c r="AA1661"/>
      <c r="AB1661"/>
      <c r="AC1661"/>
      <c r="AD1661"/>
    </row>
    <row r="1662" spans="27:30" ht="15">
      <c r="AA1662"/>
      <c r="AB1662"/>
      <c r="AC1662"/>
      <c r="AD1662"/>
    </row>
    <row r="1663" spans="27:30" ht="15">
      <c r="AA1663"/>
      <c r="AB1663"/>
      <c r="AC1663"/>
      <c r="AD1663"/>
    </row>
    <row r="1664" spans="27:30" ht="15">
      <c r="AA1664"/>
      <c r="AB1664"/>
      <c r="AC1664"/>
      <c r="AD1664"/>
    </row>
    <row r="1665" spans="27:30" ht="15">
      <c r="AA1665"/>
      <c r="AB1665"/>
      <c r="AC1665"/>
      <c r="AD1665"/>
    </row>
    <row r="1666" spans="27:30" ht="15">
      <c r="AA1666"/>
      <c r="AB1666"/>
      <c r="AC1666"/>
      <c r="AD1666"/>
    </row>
    <row r="1667" spans="27:30" ht="15">
      <c r="AA1667"/>
      <c r="AB1667"/>
      <c r="AC1667"/>
      <c r="AD1667"/>
    </row>
    <row r="1668" spans="27:30" ht="15">
      <c r="AA1668"/>
      <c r="AB1668"/>
      <c r="AC1668"/>
      <c r="AD1668"/>
    </row>
    <row r="1669" spans="27:30" ht="15">
      <c r="AA1669"/>
      <c r="AB1669"/>
      <c r="AC1669"/>
      <c r="AD1669"/>
    </row>
    <row r="1670" spans="27:30" ht="15">
      <c r="AA1670"/>
      <c r="AB1670"/>
      <c r="AC1670"/>
      <c r="AD1670"/>
    </row>
    <row r="1671" spans="27:30" ht="15">
      <c r="AA1671"/>
      <c r="AB1671"/>
      <c r="AC1671"/>
      <c r="AD1671"/>
    </row>
    <row r="1672" spans="27:30" ht="15">
      <c r="AA1672"/>
      <c r="AB1672"/>
      <c r="AC1672"/>
      <c r="AD1672"/>
    </row>
    <row r="1673" spans="27:30" ht="15">
      <c r="AA1673"/>
      <c r="AB1673"/>
      <c r="AC1673"/>
      <c r="AD1673"/>
    </row>
    <row r="1674" spans="27:30" ht="15">
      <c r="AA1674"/>
      <c r="AB1674"/>
      <c r="AC1674"/>
      <c r="AD1674"/>
    </row>
    <row r="1675" spans="27:30" ht="15">
      <c r="AA1675"/>
      <c r="AB1675"/>
      <c r="AC1675"/>
      <c r="AD1675"/>
    </row>
    <row r="1676" spans="27:30" ht="15">
      <c r="AA1676"/>
      <c r="AB1676"/>
      <c r="AC1676"/>
      <c r="AD1676"/>
    </row>
    <row r="1677" spans="27:30" ht="15">
      <c r="AA1677"/>
      <c r="AB1677"/>
      <c r="AC1677"/>
      <c r="AD1677"/>
    </row>
    <row r="1678" spans="27:30" ht="15">
      <c r="AA1678"/>
      <c r="AB1678"/>
      <c r="AC1678"/>
      <c r="AD1678"/>
    </row>
    <row r="1679" spans="27:30" ht="15">
      <c r="AA1679"/>
      <c r="AB1679"/>
      <c r="AC1679"/>
      <c r="AD1679"/>
    </row>
    <row r="1680" spans="27:30" ht="15">
      <c r="AA1680"/>
      <c r="AB1680"/>
      <c r="AC1680"/>
      <c r="AD1680"/>
    </row>
    <row r="1681" spans="27:30" ht="15">
      <c r="AA1681"/>
      <c r="AB1681"/>
      <c r="AC1681"/>
      <c r="AD1681"/>
    </row>
    <row r="1682" spans="27:30" ht="15">
      <c r="AA1682"/>
      <c r="AB1682"/>
      <c r="AC1682"/>
      <c r="AD1682"/>
    </row>
    <row r="1683" spans="27:30" ht="15">
      <c r="AA1683"/>
      <c r="AB1683"/>
      <c r="AC1683"/>
      <c r="AD1683"/>
    </row>
    <row r="1684" spans="27:30" ht="15">
      <c r="AA1684"/>
      <c r="AB1684"/>
      <c r="AC1684"/>
      <c r="AD1684"/>
    </row>
    <row r="1685" spans="27:30" ht="15">
      <c r="AA1685"/>
      <c r="AB1685"/>
      <c r="AC1685"/>
      <c r="AD1685"/>
    </row>
    <row r="1686" spans="27:30" ht="15">
      <c r="AA1686"/>
      <c r="AB1686"/>
      <c r="AC1686"/>
      <c r="AD1686"/>
    </row>
    <row r="1687" spans="27:30" ht="15">
      <c r="AA1687"/>
      <c r="AB1687"/>
      <c r="AC1687"/>
      <c r="AD1687"/>
    </row>
    <row r="1688" spans="27:30" ht="15">
      <c r="AA1688"/>
      <c r="AB1688"/>
      <c r="AC1688"/>
      <c r="AD1688"/>
    </row>
    <row r="1689" spans="27:30" ht="15">
      <c r="AA1689"/>
      <c r="AB1689"/>
      <c r="AC1689"/>
      <c r="AD1689"/>
    </row>
    <row r="1690" spans="27:30" ht="15">
      <c r="AA1690"/>
      <c r="AB1690"/>
      <c r="AC1690"/>
      <c r="AD1690"/>
    </row>
    <row r="1691" spans="27:30" ht="15">
      <c r="AA1691"/>
      <c r="AB1691"/>
      <c r="AC1691"/>
      <c r="AD1691"/>
    </row>
    <row r="1692" spans="27:30" ht="15">
      <c r="AA1692"/>
      <c r="AB1692"/>
      <c r="AC1692"/>
      <c r="AD1692"/>
    </row>
    <row r="1693" spans="27:30" ht="15">
      <c r="AA1693"/>
      <c r="AB1693"/>
      <c r="AC1693"/>
      <c r="AD1693"/>
    </row>
    <row r="1694" spans="27:30" ht="15">
      <c r="AA1694"/>
      <c r="AB1694"/>
      <c r="AC1694"/>
      <c r="AD1694"/>
    </row>
    <row r="1695" spans="27:30" ht="15">
      <c r="AA1695"/>
      <c r="AB1695"/>
      <c r="AC1695"/>
      <c r="AD1695"/>
    </row>
    <row r="1696" spans="27:30" ht="15">
      <c r="AA1696"/>
      <c r="AB1696"/>
      <c r="AC1696"/>
      <c r="AD1696"/>
    </row>
    <row r="1697" spans="27:30" ht="15">
      <c r="AA1697"/>
      <c r="AB1697"/>
      <c r="AC1697"/>
      <c r="AD1697"/>
    </row>
    <row r="1698" spans="27:30" ht="15">
      <c r="AA1698"/>
      <c r="AB1698"/>
      <c r="AC1698"/>
      <c r="AD1698"/>
    </row>
    <row r="1699" spans="27:30" ht="15">
      <c r="AA1699"/>
      <c r="AB1699"/>
      <c r="AC1699"/>
      <c r="AD1699"/>
    </row>
    <row r="1700" spans="27:30" ht="15">
      <c r="AA1700"/>
      <c r="AB1700"/>
      <c r="AC1700"/>
      <c r="AD1700"/>
    </row>
    <row r="1701" spans="27:30" ht="15">
      <c r="AA1701"/>
      <c r="AB1701"/>
      <c r="AC1701"/>
      <c r="AD1701"/>
    </row>
    <row r="1702" spans="27:30" ht="15">
      <c r="AA1702"/>
      <c r="AB1702"/>
      <c r="AC1702"/>
      <c r="AD1702"/>
    </row>
    <row r="1703" spans="27:30" ht="15">
      <c r="AA1703"/>
      <c r="AB1703"/>
      <c r="AC1703"/>
      <c r="AD1703"/>
    </row>
    <row r="1704" spans="27:30" ht="15">
      <c r="AA1704"/>
      <c r="AB1704"/>
      <c r="AC1704"/>
      <c r="AD1704"/>
    </row>
    <row r="1705" spans="27:30" ht="15">
      <c r="AA1705"/>
      <c r="AB1705"/>
      <c r="AC1705"/>
      <c r="AD1705"/>
    </row>
    <row r="1706" spans="27:30" ht="15">
      <c r="AA1706"/>
      <c r="AB1706"/>
      <c r="AC1706"/>
      <c r="AD1706"/>
    </row>
    <row r="1707" spans="27:30" ht="15">
      <c r="AA1707"/>
      <c r="AB1707"/>
      <c r="AC1707"/>
      <c r="AD1707"/>
    </row>
    <row r="1708" spans="27:30" ht="15">
      <c r="AA1708"/>
      <c r="AB1708"/>
      <c r="AC1708"/>
      <c r="AD1708"/>
    </row>
    <row r="1709" spans="27:30" ht="15">
      <c r="AA1709"/>
      <c r="AB1709"/>
      <c r="AC1709"/>
      <c r="AD1709"/>
    </row>
    <row r="1710" spans="27:30" ht="15">
      <c r="AA1710"/>
      <c r="AB1710"/>
      <c r="AC1710"/>
      <c r="AD1710"/>
    </row>
    <row r="1711" spans="27:30" ht="15">
      <c r="AA1711"/>
      <c r="AB1711"/>
      <c r="AC1711"/>
      <c r="AD1711"/>
    </row>
    <row r="1712" spans="27:30" ht="15">
      <c r="AA1712"/>
      <c r="AB1712"/>
      <c r="AC1712"/>
      <c r="AD1712"/>
    </row>
    <row r="1713" spans="27:30" ht="15">
      <c r="AA1713"/>
      <c r="AB1713"/>
      <c r="AC1713"/>
      <c r="AD1713"/>
    </row>
    <row r="1714" spans="27:30" ht="15">
      <c r="AA1714"/>
      <c r="AB1714"/>
      <c r="AC1714"/>
      <c r="AD1714"/>
    </row>
    <row r="1715" spans="27:30" ht="15">
      <c r="AA1715"/>
      <c r="AB1715"/>
      <c r="AC1715"/>
      <c r="AD1715"/>
    </row>
    <row r="1716" spans="27:30" ht="15">
      <c r="AA1716"/>
      <c r="AB1716"/>
      <c r="AC1716"/>
      <c r="AD1716"/>
    </row>
    <row r="1717" spans="27:30" ht="15">
      <c r="AA1717"/>
      <c r="AB1717"/>
      <c r="AC1717"/>
      <c r="AD1717"/>
    </row>
    <row r="1718" spans="27:30" ht="15">
      <c r="AA1718"/>
      <c r="AB1718"/>
      <c r="AC1718"/>
      <c r="AD1718"/>
    </row>
    <row r="1719" spans="27:30" ht="15">
      <c r="AA1719"/>
      <c r="AB1719"/>
      <c r="AC1719"/>
      <c r="AD1719"/>
    </row>
    <row r="1720" spans="27:30" ht="15">
      <c r="AA1720"/>
      <c r="AB1720"/>
      <c r="AC1720"/>
      <c r="AD1720"/>
    </row>
    <row r="1721" spans="27:30" ht="15">
      <c r="AA1721"/>
      <c r="AB1721"/>
      <c r="AC1721"/>
      <c r="AD1721"/>
    </row>
    <row r="1722" spans="27:30" ht="15">
      <c r="AA1722"/>
      <c r="AB1722"/>
      <c r="AC1722"/>
      <c r="AD1722"/>
    </row>
    <row r="1723" spans="27:30" ht="15">
      <c r="AA1723"/>
      <c r="AB1723"/>
      <c r="AC1723"/>
      <c r="AD1723"/>
    </row>
    <row r="1724" spans="27:30" ht="15">
      <c r="AA1724"/>
      <c r="AB1724"/>
      <c r="AC1724"/>
      <c r="AD1724"/>
    </row>
    <row r="1725" spans="27:30" ht="15">
      <c r="AA1725"/>
      <c r="AB1725"/>
      <c r="AC1725"/>
      <c r="AD1725"/>
    </row>
    <row r="1726" spans="27:30" ht="15">
      <c r="AA1726"/>
      <c r="AB1726"/>
      <c r="AC1726"/>
      <c r="AD1726"/>
    </row>
    <row r="1727" spans="27:30" ht="15">
      <c r="AA1727"/>
      <c r="AB1727"/>
      <c r="AC1727"/>
      <c r="AD1727"/>
    </row>
    <row r="1728" spans="27:30" ht="15">
      <c r="AA1728"/>
      <c r="AB1728"/>
      <c r="AC1728"/>
      <c r="AD1728"/>
    </row>
    <row r="1729" spans="27:30" ht="15">
      <c r="AA1729"/>
      <c r="AB1729"/>
      <c r="AC1729"/>
      <c r="AD1729"/>
    </row>
    <row r="1730" spans="27:30" ht="15">
      <c r="AA1730"/>
      <c r="AB1730"/>
      <c r="AC1730"/>
      <c r="AD1730"/>
    </row>
    <row r="1731" spans="27:30" ht="15">
      <c r="AA1731"/>
      <c r="AB1731"/>
      <c r="AC1731"/>
      <c r="AD1731"/>
    </row>
    <row r="1732" spans="27:30" ht="15">
      <c r="AA1732"/>
      <c r="AB1732"/>
      <c r="AC1732"/>
      <c r="AD1732"/>
    </row>
    <row r="1733" spans="27:30" ht="15">
      <c r="AA1733"/>
      <c r="AB1733"/>
      <c r="AC1733"/>
      <c r="AD1733"/>
    </row>
    <row r="1734" spans="27:30" ht="15">
      <c r="AA1734"/>
      <c r="AB1734"/>
      <c r="AC1734"/>
      <c r="AD1734"/>
    </row>
    <row r="1735" spans="27:30" ht="15">
      <c r="AA1735"/>
      <c r="AB1735"/>
      <c r="AC1735"/>
      <c r="AD1735"/>
    </row>
    <row r="1736" spans="27:30" ht="15">
      <c r="AA1736"/>
      <c r="AB1736"/>
      <c r="AC1736"/>
      <c r="AD1736"/>
    </row>
    <row r="1737" spans="27:30" ht="15">
      <c r="AA1737"/>
      <c r="AB1737"/>
      <c r="AC1737"/>
      <c r="AD1737"/>
    </row>
    <row r="1738" spans="27:30" ht="15">
      <c r="AA1738"/>
      <c r="AB1738"/>
      <c r="AC1738"/>
      <c r="AD1738"/>
    </row>
    <row r="1739" spans="27:30" ht="15">
      <c r="AA1739"/>
      <c r="AB1739"/>
      <c r="AC1739"/>
      <c r="AD1739"/>
    </row>
    <row r="1740" spans="27:30" ht="15">
      <c r="AA1740"/>
      <c r="AB1740"/>
      <c r="AC1740"/>
      <c r="AD1740"/>
    </row>
    <row r="1741" spans="27:30" ht="15">
      <c r="AA1741"/>
      <c r="AB1741"/>
      <c r="AC1741"/>
      <c r="AD1741"/>
    </row>
    <row r="1742" spans="27:30" ht="15">
      <c r="AA1742"/>
      <c r="AB1742"/>
      <c r="AC1742"/>
      <c r="AD1742"/>
    </row>
    <row r="1743" spans="27:30" ht="15">
      <c r="AA1743"/>
      <c r="AB1743"/>
      <c r="AC1743"/>
      <c r="AD1743"/>
    </row>
    <row r="1744" spans="27:30" ht="15">
      <c r="AA1744"/>
      <c r="AB1744"/>
      <c r="AC1744"/>
      <c r="AD1744"/>
    </row>
    <row r="1745" spans="27:30" ht="15">
      <c r="AA1745"/>
      <c r="AB1745"/>
      <c r="AC1745"/>
      <c r="AD1745"/>
    </row>
    <row r="1746" spans="27:30" ht="15">
      <c r="AA1746"/>
      <c r="AB1746"/>
      <c r="AC1746"/>
      <c r="AD1746"/>
    </row>
    <row r="1747" spans="27:30" ht="15">
      <c r="AA1747"/>
      <c r="AB1747"/>
      <c r="AC1747"/>
      <c r="AD1747"/>
    </row>
    <row r="1748" spans="27:30" ht="15">
      <c r="AA1748"/>
      <c r="AB1748"/>
      <c r="AC1748"/>
      <c r="AD1748"/>
    </row>
    <row r="1749" spans="27:30" ht="15">
      <c r="AA1749"/>
      <c r="AB1749"/>
      <c r="AC1749"/>
      <c r="AD1749"/>
    </row>
    <row r="1750" spans="27:30" ht="15">
      <c r="AA1750"/>
      <c r="AB1750"/>
      <c r="AC1750"/>
      <c r="AD1750"/>
    </row>
    <row r="1751" spans="27:30" ht="15">
      <c r="AA1751"/>
      <c r="AB1751"/>
      <c r="AC1751"/>
      <c r="AD1751"/>
    </row>
    <row r="1752" spans="27:30" ht="15">
      <c r="AA1752"/>
      <c r="AB1752"/>
      <c r="AC1752"/>
      <c r="AD1752"/>
    </row>
    <row r="1753" spans="27:30" ht="15">
      <c r="AA1753"/>
      <c r="AB1753"/>
      <c r="AC1753"/>
      <c r="AD1753"/>
    </row>
    <row r="1754" spans="27:30" ht="15">
      <c r="AA1754"/>
      <c r="AB1754"/>
      <c r="AC1754"/>
      <c r="AD1754"/>
    </row>
    <row r="1755" spans="27:30" ht="15">
      <c r="AA1755"/>
      <c r="AB1755"/>
      <c r="AC1755"/>
      <c r="AD1755"/>
    </row>
    <row r="1756" spans="27:30" ht="15">
      <c r="AA1756"/>
      <c r="AB1756"/>
      <c r="AC1756"/>
      <c r="AD1756"/>
    </row>
    <row r="1757" spans="27:30" ht="15">
      <c r="AA1757"/>
      <c r="AB1757"/>
      <c r="AC1757"/>
      <c r="AD1757"/>
    </row>
    <row r="1758" spans="27:30" ht="15">
      <c r="AA1758"/>
      <c r="AB1758"/>
      <c r="AC1758"/>
      <c r="AD1758"/>
    </row>
    <row r="1759" spans="27:30" ht="15">
      <c r="AA1759"/>
      <c r="AB1759"/>
      <c r="AC1759"/>
      <c r="AD1759"/>
    </row>
    <row r="1760" spans="27:30" ht="15">
      <c r="AA1760"/>
      <c r="AB1760"/>
      <c r="AC1760"/>
      <c r="AD1760"/>
    </row>
    <row r="1761" spans="27:30" ht="15">
      <c r="AA1761"/>
      <c r="AB1761"/>
      <c r="AC1761"/>
      <c r="AD1761"/>
    </row>
    <row r="1762" spans="27:30" ht="15">
      <c r="AA1762"/>
      <c r="AB1762"/>
      <c r="AC1762"/>
      <c r="AD1762"/>
    </row>
    <row r="1763" spans="27:30" ht="15">
      <c r="AA1763"/>
      <c r="AB1763"/>
      <c r="AC1763"/>
      <c r="AD1763"/>
    </row>
    <row r="1764" spans="27:30" ht="15">
      <c r="AA1764"/>
      <c r="AB1764"/>
      <c r="AC1764"/>
      <c r="AD1764"/>
    </row>
    <row r="1765" spans="27:30" ht="15">
      <c r="AA1765"/>
      <c r="AB1765"/>
      <c r="AC1765"/>
      <c r="AD1765"/>
    </row>
    <row r="1766" spans="27:30" ht="15">
      <c r="AA1766"/>
      <c r="AB1766"/>
      <c r="AC1766"/>
      <c r="AD1766"/>
    </row>
    <row r="1767" spans="27:30" ht="15">
      <c r="AA1767"/>
      <c r="AB1767"/>
      <c r="AC1767"/>
      <c r="AD1767"/>
    </row>
    <row r="1768" spans="27:30" ht="15">
      <c r="AA1768"/>
      <c r="AB1768"/>
      <c r="AC1768"/>
      <c r="AD1768"/>
    </row>
    <row r="1769" spans="27:30" ht="15">
      <c r="AA1769"/>
      <c r="AB1769"/>
      <c r="AC1769"/>
      <c r="AD1769"/>
    </row>
    <row r="1770" spans="27:30" ht="15">
      <c r="AA1770"/>
      <c r="AB1770"/>
      <c r="AC1770"/>
      <c r="AD1770"/>
    </row>
    <row r="1771" spans="27:30" ht="15">
      <c r="AA1771"/>
      <c r="AB1771"/>
      <c r="AC1771"/>
      <c r="AD1771"/>
    </row>
    <row r="1772" spans="27:30" ht="15">
      <c r="AA1772"/>
      <c r="AB1772"/>
      <c r="AC1772"/>
      <c r="AD1772"/>
    </row>
    <row r="1773" spans="27:30" ht="15">
      <c r="AA1773"/>
      <c r="AB1773"/>
      <c r="AC1773"/>
      <c r="AD1773"/>
    </row>
    <row r="1774" spans="27:30" ht="15">
      <c r="AA1774"/>
      <c r="AB1774"/>
      <c r="AC1774"/>
      <c r="AD1774"/>
    </row>
    <row r="1775" spans="27:30" ht="15">
      <c r="AA1775"/>
      <c r="AB1775"/>
      <c r="AC1775"/>
      <c r="AD1775"/>
    </row>
    <row r="1776" spans="27:30" ht="15">
      <c r="AA1776"/>
      <c r="AB1776"/>
      <c r="AC1776"/>
      <c r="AD1776"/>
    </row>
    <row r="1777" spans="27:30" ht="15">
      <c r="AA1777"/>
      <c r="AB1777"/>
      <c r="AC1777"/>
      <c r="AD1777"/>
    </row>
    <row r="1778" spans="27:30" ht="15">
      <c r="AA1778"/>
      <c r="AB1778"/>
      <c r="AC1778"/>
      <c r="AD1778"/>
    </row>
    <row r="1779" spans="27:30" ht="15">
      <c r="AA1779"/>
      <c r="AB1779"/>
      <c r="AC1779"/>
      <c r="AD1779"/>
    </row>
    <row r="1780" spans="27:30" ht="15">
      <c r="AA1780"/>
      <c r="AB1780"/>
      <c r="AC1780"/>
      <c r="AD1780"/>
    </row>
    <row r="1781" spans="27:30" ht="15">
      <c r="AA1781"/>
      <c r="AB1781"/>
      <c r="AC1781"/>
      <c r="AD1781"/>
    </row>
    <row r="1782" spans="27:30" ht="15">
      <c r="AA1782"/>
      <c r="AB1782"/>
      <c r="AC1782"/>
      <c r="AD1782"/>
    </row>
    <row r="1783" spans="27:30" ht="15">
      <c r="AA1783"/>
      <c r="AB1783"/>
      <c r="AC1783"/>
      <c r="AD1783"/>
    </row>
    <row r="1784" spans="27:30" ht="15">
      <c r="AA1784"/>
      <c r="AB1784"/>
      <c r="AC1784"/>
      <c r="AD1784"/>
    </row>
    <row r="1785" spans="27:30" ht="15">
      <c r="AA1785"/>
      <c r="AB1785"/>
      <c r="AC1785"/>
      <c r="AD1785"/>
    </row>
    <row r="1786" spans="27:30" ht="15">
      <c r="AA1786"/>
      <c r="AB1786"/>
      <c r="AC1786"/>
      <c r="AD1786"/>
    </row>
    <row r="1787" spans="27:30" ht="15">
      <c r="AA1787"/>
      <c r="AB1787"/>
      <c r="AC1787"/>
      <c r="AD1787"/>
    </row>
    <row r="1788" spans="27:30" ht="15">
      <c r="AA1788"/>
      <c r="AB1788"/>
      <c r="AC1788"/>
      <c r="AD1788"/>
    </row>
    <row r="1789" spans="27:30" ht="15">
      <c r="AA1789"/>
      <c r="AB1789"/>
      <c r="AC1789"/>
      <c r="AD1789"/>
    </row>
    <row r="1790" spans="27:30" ht="15">
      <c r="AA1790"/>
      <c r="AB1790"/>
      <c r="AC1790"/>
      <c r="AD1790"/>
    </row>
    <row r="1791" spans="27:30" ht="15">
      <c r="AA1791"/>
      <c r="AB1791"/>
      <c r="AC1791"/>
      <c r="AD1791"/>
    </row>
    <row r="1792" spans="27:30" ht="15">
      <c r="AA1792"/>
      <c r="AB1792"/>
      <c r="AC1792"/>
      <c r="AD1792"/>
    </row>
    <row r="1793" spans="27:30" ht="15">
      <c r="AA1793"/>
      <c r="AB1793"/>
      <c r="AC1793"/>
      <c r="AD1793"/>
    </row>
    <row r="1794" spans="27:30" ht="15">
      <c r="AA1794"/>
      <c r="AB1794"/>
      <c r="AC1794"/>
      <c r="AD1794"/>
    </row>
    <row r="1795" spans="27:30" ht="15">
      <c r="AA1795"/>
      <c r="AB1795"/>
      <c r="AC1795"/>
      <c r="AD1795"/>
    </row>
    <row r="1796" spans="27:30" ht="15">
      <c r="AA1796"/>
      <c r="AB1796"/>
      <c r="AC1796"/>
      <c r="AD1796"/>
    </row>
    <row r="1797" spans="27:30" ht="15">
      <c r="AA1797"/>
      <c r="AB1797"/>
      <c r="AC1797"/>
      <c r="AD1797"/>
    </row>
    <row r="1798" spans="27:30" ht="15">
      <c r="AA1798"/>
      <c r="AB1798"/>
      <c r="AC1798"/>
      <c r="AD1798"/>
    </row>
    <row r="1799" spans="27:30" ht="15">
      <c r="AA1799"/>
      <c r="AB1799"/>
      <c r="AC1799"/>
      <c r="AD1799"/>
    </row>
    <row r="1800" spans="27:30" ht="15">
      <c r="AA1800"/>
      <c r="AB1800"/>
      <c r="AC1800"/>
      <c r="AD1800"/>
    </row>
    <row r="1801" spans="27:30" ht="15">
      <c r="AA1801"/>
      <c r="AB1801"/>
      <c r="AC1801"/>
      <c r="AD1801"/>
    </row>
    <row r="1802" spans="27:30" ht="15">
      <c r="AA1802"/>
      <c r="AB1802"/>
      <c r="AC1802"/>
      <c r="AD1802"/>
    </row>
    <row r="1803" spans="27:30" ht="15">
      <c r="AA1803"/>
      <c r="AB1803"/>
      <c r="AC1803"/>
      <c r="AD1803"/>
    </row>
    <row r="1804" spans="27:30" ht="15">
      <c r="AA1804"/>
      <c r="AB1804"/>
      <c r="AC1804"/>
      <c r="AD1804"/>
    </row>
    <row r="1805" spans="27:30" ht="15">
      <c r="AA1805"/>
      <c r="AB1805"/>
      <c r="AC1805"/>
      <c r="AD1805"/>
    </row>
    <row r="1806" spans="27:30" ht="15">
      <c r="AA1806"/>
      <c r="AB1806"/>
      <c r="AC1806"/>
      <c r="AD1806"/>
    </row>
    <row r="1807" spans="27:30" ht="15">
      <c r="AA1807"/>
      <c r="AB1807"/>
      <c r="AC1807"/>
      <c r="AD1807"/>
    </row>
    <row r="1808" spans="27:30" ht="15">
      <c r="AA1808"/>
      <c r="AB1808"/>
      <c r="AC1808"/>
      <c r="AD1808"/>
    </row>
    <row r="1809" spans="27:30" ht="15">
      <c r="AA1809"/>
      <c r="AB1809"/>
      <c r="AC1809"/>
      <c r="AD1809"/>
    </row>
    <row r="1810" spans="27:30" ht="15">
      <c r="AA1810"/>
      <c r="AB1810"/>
      <c r="AC1810"/>
      <c r="AD1810"/>
    </row>
    <row r="1811" spans="27:30" ht="15">
      <c r="AA1811"/>
      <c r="AB1811"/>
      <c r="AC1811"/>
      <c r="AD1811"/>
    </row>
    <row r="1812" spans="27:30" ht="15">
      <c r="AA1812"/>
      <c r="AB1812"/>
      <c r="AC1812"/>
      <c r="AD1812"/>
    </row>
    <row r="1813" spans="27:30" ht="15">
      <c r="AA1813"/>
      <c r="AB1813"/>
      <c r="AC1813"/>
      <c r="AD1813"/>
    </row>
    <row r="1814" spans="27:30" ht="15">
      <c r="AA1814"/>
      <c r="AB1814"/>
      <c r="AC1814"/>
      <c r="AD1814"/>
    </row>
    <row r="1815" spans="27:30" ht="15">
      <c r="AA1815"/>
      <c r="AB1815"/>
      <c r="AC1815"/>
      <c r="AD1815"/>
    </row>
    <row r="1816" spans="27:30" ht="15">
      <c r="AA1816"/>
      <c r="AB1816"/>
      <c r="AC1816"/>
      <c r="AD1816"/>
    </row>
    <row r="1817" spans="27:30" ht="15">
      <c r="AA1817"/>
      <c r="AB1817"/>
      <c r="AC1817"/>
      <c r="AD1817"/>
    </row>
    <row r="1818" spans="27:30" ht="15">
      <c r="AA1818"/>
      <c r="AB1818"/>
      <c r="AC1818"/>
      <c r="AD1818"/>
    </row>
    <row r="1819" spans="27:30" ht="15">
      <c r="AA1819"/>
      <c r="AB1819"/>
      <c r="AC1819"/>
      <c r="AD1819"/>
    </row>
    <row r="1820" spans="27:30" ht="15">
      <c r="AA1820"/>
      <c r="AB1820"/>
      <c r="AC1820"/>
      <c r="AD1820"/>
    </row>
    <row r="1821" spans="27:30" ht="15">
      <c r="AA1821"/>
      <c r="AB1821"/>
      <c r="AC1821"/>
      <c r="AD1821"/>
    </row>
    <row r="1822" spans="27:30" ht="15">
      <c r="AA1822"/>
      <c r="AB1822"/>
      <c r="AC1822"/>
      <c r="AD1822"/>
    </row>
    <row r="1823" spans="27:30" ht="15">
      <c r="AA1823"/>
      <c r="AB1823"/>
      <c r="AC1823"/>
      <c r="AD1823"/>
    </row>
    <row r="1824" spans="27:30" ht="15">
      <c r="AA1824"/>
      <c r="AB1824"/>
      <c r="AC1824"/>
      <c r="AD1824"/>
    </row>
    <row r="1825" spans="27:30" ht="15">
      <c r="AA1825"/>
      <c r="AB1825"/>
      <c r="AC1825"/>
      <c r="AD1825"/>
    </row>
    <row r="1826" spans="27:30" ht="15">
      <c r="AA1826"/>
      <c r="AB1826"/>
      <c r="AC1826"/>
      <c r="AD1826"/>
    </row>
    <row r="1827" spans="27:30" ht="15">
      <c r="AA1827"/>
      <c r="AB1827"/>
      <c r="AC1827"/>
      <c r="AD1827"/>
    </row>
    <row r="1828" spans="27:30" ht="15">
      <c r="AA1828"/>
      <c r="AB1828"/>
      <c r="AC1828"/>
      <c r="AD1828"/>
    </row>
    <row r="1829" spans="27:30" ht="15">
      <c r="AA1829"/>
      <c r="AB1829"/>
      <c r="AC1829"/>
      <c r="AD1829"/>
    </row>
    <row r="1830" spans="27:30" ht="15">
      <c r="AA1830"/>
      <c r="AB1830"/>
      <c r="AC1830"/>
      <c r="AD1830"/>
    </row>
    <row r="1831" spans="27:30" ht="15">
      <c r="AA1831"/>
      <c r="AB1831"/>
      <c r="AC1831"/>
      <c r="AD1831"/>
    </row>
    <row r="1832" spans="27:30" ht="15">
      <c r="AA1832"/>
      <c r="AB1832"/>
      <c r="AC1832"/>
      <c r="AD1832"/>
    </row>
    <row r="1833" spans="27:30" ht="15">
      <c r="AA1833"/>
      <c r="AB1833"/>
      <c r="AC1833"/>
      <c r="AD1833"/>
    </row>
    <row r="1834" spans="27:30" ht="15">
      <c r="AA1834"/>
      <c r="AB1834"/>
      <c r="AC1834"/>
      <c r="AD1834"/>
    </row>
    <row r="1835" spans="27:30" ht="15">
      <c r="AA1835"/>
      <c r="AB1835"/>
      <c r="AC1835"/>
      <c r="AD1835"/>
    </row>
    <row r="1836" spans="27:30" ht="15">
      <c r="AA1836"/>
      <c r="AB1836"/>
      <c r="AC1836"/>
      <c r="AD1836"/>
    </row>
    <row r="1837" spans="27:30" ht="15">
      <c r="AA1837"/>
      <c r="AB1837"/>
      <c r="AC1837"/>
      <c r="AD1837"/>
    </row>
    <row r="1838" spans="27:30" ht="15">
      <c r="AA1838"/>
      <c r="AB1838"/>
      <c r="AC1838"/>
      <c r="AD1838"/>
    </row>
    <row r="1839" spans="27:30" ht="15">
      <c r="AA1839"/>
      <c r="AB1839"/>
      <c r="AC1839"/>
      <c r="AD1839"/>
    </row>
    <row r="1840" spans="27:30" ht="15">
      <c r="AA1840"/>
      <c r="AB1840"/>
      <c r="AC1840"/>
      <c r="AD1840"/>
    </row>
    <row r="1841" spans="27:30" ht="15">
      <c r="AA1841"/>
      <c r="AB1841"/>
      <c r="AC1841"/>
      <c r="AD1841"/>
    </row>
    <row r="1842" spans="27:30" ht="15">
      <c r="AA1842"/>
      <c r="AB1842"/>
      <c r="AC1842"/>
      <c r="AD1842"/>
    </row>
    <row r="1843" spans="27:30" ht="15">
      <c r="AA1843"/>
      <c r="AB1843"/>
      <c r="AC1843"/>
      <c r="AD1843"/>
    </row>
    <row r="1844" spans="27:30" ht="15">
      <c r="AA1844"/>
      <c r="AB1844"/>
      <c r="AC1844"/>
      <c r="AD1844"/>
    </row>
    <row r="1845" spans="27:30" ht="15">
      <c r="AA1845"/>
      <c r="AB1845"/>
      <c r="AC1845"/>
      <c r="AD1845"/>
    </row>
    <row r="1846" spans="27:30" ht="15">
      <c r="AA1846"/>
      <c r="AB1846"/>
      <c r="AC1846"/>
      <c r="AD1846"/>
    </row>
    <row r="1847" spans="27:30" ht="15">
      <c r="AA1847"/>
      <c r="AB1847"/>
      <c r="AC1847"/>
      <c r="AD1847"/>
    </row>
    <row r="1848" spans="27:30" ht="15">
      <c r="AA1848"/>
      <c r="AB1848"/>
      <c r="AC1848"/>
      <c r="AD1848"/>
    </row>
    <row r="1849" spans="27:30" ht="15">
      <c r="AA1849"/>
      <c r="AB1849"/>
      <c r="AC1849"/>
      <c r="AD1849"/>
    </row>
    <row r="1850" spans="27:30" ht="15">
      <c r="AA1850"/>
      <c r="AB1850"/>
      <c r="AC1850"/>
      <c r="AD1850"/>
    </row>
    <row r="1851" spans="27:30" ht="15">
      <c r="AA1851"/>
      <c r="AB1851"/>
      <c r="AC1851"/>
      <c r="AD1851"/>
    </row>
    <row r="1852" spans="27:30" ht="15">
      <c r="AA1852"/>
      <c r="AB1852"/>
      <c r="AC1852"/>
      <c r="AD1852"/>
    </row>
    <row r="1853" spans="27:30" ht="15">
      <c r="AA1853"/>
      <c r="AB1853"/>
      <c r="AC1853"/>
      <c r="AD1853"/>
    </row>
    <row r="1854" spans="27:30" ht="15">
      <c r="AA1854"/>
      <c r="AB1854"/>
      <c r="AC1854"/>
      <c r="AD1854"/>
    </row>
    <row r="1855" spans="27:30" ht="15">
      <c r="AA1855"/>
      <c r="AB1855"/>
      <c r="AC1855"/>
      <c r="AD1855"/>
    </row>
    <row r="1856" spans="27:30" ht="15">
      <c r="AA1856"/>
      <c r="AB1856"/>
      <c r="AC1856"/>
      <c r="AD1856"/>
    </row>
    <row r="1857" spans="27:30" ht="15">
      <c r="AA1857"/>
      <c r="AB1857"/>
      <c r="AC1857"/>
      <c r="AD1857"/>
    </row>
    <row r="1858" spans="27:30" ht="15">
      <c r="AA1858"/>
      <c r="AB1858"/>
      <c r="AC1858"/>
      <c r="AD1858"/>
    </row>
    <row r="1859" spans="27:30" ht="15">
      <c r="AA1859"/>
      <c r="AB1859"/>
      <c r="AC1859"/>
      <c r="AD1859"/>
    </row>
    <row r="1860" spans="27:30" ht="15">
      <c r="AA1860"/>
      <c r="AB1860"/>
      <c r="AC1860"/>
      <c r="AD1860"/>
    </row>
    <row r="1861" spans="27:30" ht="15">
      <c r="AA1861"/>
      <c r="AB1861"/>
      <c r="AC1861"/>
      <c r="AD1861"/>
    </row>
    <row r="1862" spans="27:30" ht="15">
      <c r="AA1862"/>
      <c r="AB1862"/>
      <c r="AC1862"/>
      <c r="AD1862"/>
    </row>
    <row r="1863" spans="27:30" ht="15">
      <c r="AA1863"/>
      <c r="AB1863"/>
      <c r="AC1863"/>
      <c r="AD1863"/>
    </row>
    <row r="1864" spans="27:30" ht="15">
      <c r="AA1864"/>
      <c r="AB1864"/>
      <c r="AC1864"/>
      <c r="AD1864"/>
    </row>
    <row r="1865" spans="27:30" ht="15">
      <c r="AA1865"/>
      <c r="AB1865"/>
      <c r="AC1865"/>
      <c r="AD1865"/>
    </row>
    <row r="1866" spans="27:30" ht="15">
      <c r="AA1866"/>
      <c r="AB1866"/>
      <c r="AC1866"/>
      <c r="AD1866"/>
    </row>
    <row r="1867" spans="27:30" ht="15">
      <c r="AA1867"/>
      <c r="AB1867"/>
      <c r="AC1867"/>
      <c r="AD1867"/>
    </row>
    <row r="1868" spans="27:30" ht="15">
      <c r="AA1868"/>
      <c r="AB1868"/>
      <c r="AC1868"/>
      <c r="AD1868"/>
    </row>
    <row r="1869" spans="27:30" ht="15">
      <c r="AA1869"/>
      <c r="AB1869"/>
      <c r="AC1869"/>
      <c r="AD1869"/>
    </row>
    <row r="1870" spans="27:30" ht="15">
      <c r="AA1870"/>
      <c r="AB1870"/>
      <c r="AC1870"/>
      <c r="AD1870"/>
    </row>
    <row r="1871" spans="27:30" ht="15">
      <c r="AA1871"/>
      <c r="AB1871"/>
      <c r="AC1871"/>
      <c r="AD1871"/>
    </row>
    <row r="1872" spans="27:30" ht="15">
      <c r="AA1872"/>
      <c r="AB1872"/>
      <c r="AC1872"/>
      <c r="AD1872"/>
    </row>
    <row r="1873" spans="27:30" ht="15">
      <c r="AA1873"/>
      <c r="AB1873"/>
      <c r="AC1873"/>
      <c r="AD1873"/>
    </row>
    <row r="1874" spans="27:30" ht="15">
      <c r="AA1874"/>
      <c r="AB1874"/>
      <c r="AC1874"/>
      <c r="AD1874"/>
    </row>
    <row r="1875" spans="27:30" ht="15">
      <c r="AA1875"/>
      <c r="AB1875"/>
      <c r="AC1875"/>
      <c r="AD1875"/>
    </row>
    <row r="1876" spans="27:30" ht="15">
      <c r="AA1876"/>
      <c r="AB1876"/>
      <c r="AC1876"/>
      <c r="AD1876"/>
    </row>
    <row r="1877" spans="27:30" ht="15">
      <c r="AA1877"/>
      <c r="AB1877"/>
      <c r="AC1877"/>
      <c r="AD1877"/>
    </row>
    <row r="1878" spans="27:30" ht="15">
      <c r="AA1878"/>
      <c r="AB1878"/>
      <c r="AC1878"/>
      <c r="AD1878"/>
    </row>
    <row r="1879" spans="27:30" ht="15">
      <c r="AA1879"/>
      <c r="AB1879"/>
      <c r="AC1879"/>
      <c r="AD1879"/>
    </row>
    <row r="1880" spans="27:30" ht="15">
      <c r="AA1880"/>
      <c r="AB1880"/>
      <c r="AC1880"/>
      <c r="AD1880"/>
    </row>
    <row r="1881" spans="27:30" ht="15">
      <c r="AA1881"/>
      <c r="AB1881"/>
      <c r="AC1881"/>
      <c r="AD1881"/>
    </row>
    <row r="1882" spans="27:30" ht="15">
      <c r="AA1882"/>
      <c r="AB1882"/>
      <c r="AC1882"/>
      <c r="AD1882"/>
    </row>
    <row r="1883" spans="27:30" ht="15">
      <c r="AA1883"/>
      <c r="AB1883"/>
      <c r="AC1883"/>
      <c r="AD1883"/>
    </row>
    <row r="1884" spans="27:30" ht="15">
      <c r="AA1884"/>
      <c r="AB1884"/>
      <c r="AC1884"/>
      <c r="AD1884"/>
    </row>
    <row r="1885" spans="27:30" ht="15">
      <c r="AA1885"/>
      <c r="AB1885"/>
      <c r="AC1885"/>
      <c r="AD1885"/>
    </row>
    <row r="1886" spans="27:30" ht="15">
      <c r="AA1886"/>
      <c r="AB1886"/>
      <c r="AC1886"/>
      <c r="AD1886"/>
    </row>
    <row r="1887" spans="27:30" ht="15">
      <c r="AA1887"/>
      <c r="AB1887"/>
      <c r="AC1887"/>
      <c r="AD1887"/>
    </row>
    <row r="1888" spans="27:30" ht="15">
      <c r="AA1888"/>
      <c r="AB1888"/>
      <c r="AC1888"/>
      <c r="AD1888"/>
    </row>
    <row r="1889" spans="27:30" ht="15">
      <c r="AA1889"/>
      <c r="AB1889"/>
      <c r="AC1889"/>
      <c r="AD1889"/>
    </row>
    <row r="1890" spans="27:30" ht="15">
      <c r="AA1890"/>
      <c r="AB1890"/>
      <c r="AC1890"/>
      <c r="AD1890"/>
    </row>
    <row r="1891" spans="27:30" ht="15">
      <c r="AA1891"/>
      <c r="AB1891"/>
      <c r="AC1891"/>
      <c r="AD1891"/>
    </row>
    <row r="1892" spans="27:30" ht="15">
      <c r="AA1892"/>
      <c r="AB1892"/>
      <c r="AC1892"/>
      <c r="AD1892"/>
    </row>
    <row r="1893" spans="27:30" ht="15">
      <c r="AA1893"/>
      <c r="AB1893"/>
      <c r="AC1893"/>
      <c r="AD1893"/>
    </row>
    <row r="1894" spans="27:30" ht="15">
      <c r="AA1894"/>
      <c r="AB1894"/>
      <c r="AC1894"/>
      <c r="AD1894"/>
    </row>
    <row r="1895" spans="27:30" ht="15">
      <c r="AA1895"/>
      <c r="AB1895"/>
      <c r="AC1895"/>
      <c r="AD1895"/>
    </row>
    <row r="1896" spans="27:30" ht="15">
      <c r="AA1896"/>
      <c r="AB1896"/>
      <c r="AC1896"/>
      <c r="AD1896"/>
    </row>
    <row r="1897" spans="27:30" ht="15">
      <c r="AA1897"/>
      <c r="AB1897"/>
      <c r="AC1897"/>
      <c r="AD1897"/>
    </row>
    <row r="1898" spans="27:30" ht="15">
      <c r="AA1898"/>
      <c r="AB1898"/>
      <c r="AC1898"/>
      <c r="AD1898"/>
    </row>
    <row r="1899" spans="27:30" ht="15">
      <c r="AA1899"/>
      <c r="AB1899"/>
      <c r="AC1899"/>
      <c r="AD1899"/>
    </row>
    <row r="1900" spans="27:30" ht="15">
      <c r="AA1900"/>
      <c r="AB1900"/>
      <c r="AC1900"/>
      <c r="AD1900"/>
    </row>
    <row r="1901" spans="27:30" ht="15">
      <c r="AA1901"/>
      <c r="AB1901"/>
      <c r="AC1901"/>
      <c r="AD1901"/>
    </row>
    <row r="1902" spans="27:30" ht="15">
      <c r="AA1902"/>
      <c r="AB1902"/>
      <c r="AC1902"/>
      <c r="AD1902"/>
    </row>
    <row r="1903" spans="27:30" ht="15">
      <c r="AA1903"/>
      <c r="AB1903"/>
      <c r="AC1903"/>
      <c r="AD1903"/>
    </row>
    <row r="1904" spans="27:30" ht="15">
      <c r="AA1904"/>
      <c r="AB1904"/>
      <c r="AC1904"/>
      <c r="AD1904"/>
    </row>
    <row r="1905" spans="27:30" ht="15">
      <c r="AA1905"/>
      <c r="AB1905"/>
      <c r="AC1905"/>
      <c r="AD1905"/>
    </row>
    <row r="1906" spans="27:30" ht="15">
      <c r="AA1906"/>
      <c r="AB1906"/>
      <c r="AC1906"/>
      <c r="AD1906"/>
    </row>
    <row r="1907" spans="27:30" ht="15">
      <c r="AA1907"/>
      <c r="AB1907"/>
      <c r="AC1907"/>
      <c r="AD1907"/>
    </row>
    <row r="1908" spans="27:30" ht="15">
      <c r="AA1908"/>
      <c r="AB1908"/>
      <c r="AC1908"/>
      <c r="AD1908"/>
    </row>
    <row r="1909" spans="27:30" ht="15">
      <c r="AA1909"/>
      <c r="AB1909"/>
      <c r="AC1909"/>
      <c r="AD1909"/>
    </row>
    <row r="1910" spans="27:30" ht="15">
      <c r="AA1910"/>
      <c r="AB1910"/>
      <c r="AC1910"/>
      <c r="AD1910"/>
    </row>
    <row r="1911" spans="27:30" ht="15">
      <c r="AA1911"/>
      <c r="AB1911"/>
      <c r="AC1911"/>
      <c r="AD1911"/>
    </row>
    <row r="1912" spans="27:30" ht="15">
      <c r="AA1912"/>
      <c r="AB1912"/>
      <c r="AC1912"/>
      <c r="AD1912"/>
    </row>
    <row r="1913" spans="27:30" ht="15">
      <c r="AA1913"/>
      <c r="AB1913"/>
      <c r="AC1913"/>
      <c r="AD1913"/>
    </row>
    <row r="1914" spans="27:30" ht="15">
      <c r="AA1914"/>
      <c r="AB1914"/>
      <c r="AC1914"/>
      <c r="AD1914"/>
    </row>
    <row r="1915" spans="27:30" ht="15">
      <c r="AA1915"/>
      <c r="AB1915"/>
      <c r="AC1915"/>
      <c r="AD1915"/>
    </row>
    <row r="1916" spans="27:30" ht="15">
      <c r="AA1916"/>
      <c r="AB1916"/>
      <c r="AC1916"/>
      <c r="AD1916"/>
    </row>
    <row r="1917" spans="27:30" ht="15">
      <c r="AA1917"/>
      <c r="AB1917"/>
      <c r="AC1917"/>
      <c r="AD1917"/>
    </row>
    <row r="1918" spans="27:30" ht="15">
      <c r="AA1918"/>
      <c r="AB1918"/>
      <c r="AC1918"/>
      <c r="AD1918"/>
    </row>
    <row r="1919" spans="27:30" ht="15">
      <c r="AA1919"/>
      <c r="AB1919"/>
      <c r="AC1919"/>
      <c r="AD1919"/>
    </row>
    <row r="1920" spans="27:30" ht="15">
      <c r="AA1920"/>
      <c r="AB1920"/>
      <c r="AC1920"/>
      <c r="AD1920"/>
    </row>
    <row r="1921" spans="27:30" ht="15">
      <c r="AA1921"/>
      <c r="AB1921"/>
      <c r="AC1921"/>
      <c r="AD1921"/>
    </row>
    <row r="1922" spans="27:30" ht="15">
      <c r="AA1922"/>
      <c r="AB1922"/>
      <c r="AC1922"/>
      <c r="AD1922"/>
    </row>
    <row r="1923" spans="27:30" ht="15">
      <c r="AA1923"/>
      <c r="AB1923"/>
      <c r="AC1923"/>
      <c r="AD1923"/>
    </row>
    <row r="1924" spans="27:30" ht="15">
      <c r="AA1924"/>
      <c r="AB1924"/>
      <c r="AC1924"/>
      <c r="AD1924"/>
    </row>
    <row r="1925" spans="27:30" ht="15">
      <c r="AA1925"/>
      <c r="AB1925"/>
      <c r="AC1925"/>
      <c r="AD1925"/>
    </row>
    <row r="1926" spans="27:30" ht="15">
      <c r="AA1926"/>
      <c r="AB1926"/>
      <c r="AC1926"/>
      <c r="AD1926"/>
    </row>
    <row r="1927" spans="27:30" ht="15">
      <c r="AA1927"/>
      <c r="AB1927"/>
      <c r="AC1927"/>
      <c r="AD1927"/>
    </row>
    <row r="1928" spans="27:30" ht="15">
      <c r="AA1928"/>
      <c r="AB1928"/>
      <c r="AC1928"/>
      <c r="AD1928"/>
    </row>
    <row r="1929" spans="27:30" ht="15">
      <c r="AA1929"/>
      <c r="AB1929"/>
      <c r="AC1929"/>
      <c r="AD1929"/>
    </row>
    <row r="1930" spans="27:30" ht="15">
      <c r="AA1930"/>
      <c r="AB1930"/>
      <c r="AC1930"/>
      <c r="AD1930"/>
    </row>
    <row r="1931" spans="27:30" ht="15">
      <c r="AA1931"/>
      <c r="AB1931"/>
      <c r="AC1931"/>
      <c r="AD1931"/>
    </row>
    <row r="1932" spans="27:30" ht="15">
      <c r="AA1932"/>
      <c r="AB1932"/>
      <c r="AC1932"/>
      <c r="AD1932"/>
    </row>
    <row r="1933" spans="27:30" ht="15">
      <c r="AA1933"/>
      <c r="AB1933"/>
      <c r="AC1933"/>
      <c r="AD1933"/>
    </row>
    <row r="1934" spans="27:30" ht="15">
      <c r="AA1934"/>
      <c r="AB1934"/>
      <c r="AC1934"/>
      <c r="AD1934"/>
    </row>
    <row r="1935" spans="27:30" ht="15">
      <c r="AA1935"/>
      <c r="AB1935"/>
      <c r="AC1935"/>
      <c r="AD1935"/>
    </row>
    <row r="1936" spans="27:30" ht="15">
      <c r="AA1936"/>
      <c r="AB1936"/>
      <c r="AC1936"/>
      <c r="AD1936"/>
    </row>
    <row r="1937" spans="27:30" ht="15">
      <c r="AA1937"/>
      <c r="AB1937"/>
      <c r="AC1937"/>
      <c r="AD1937"/>
    </row>
    <row r="1938" spans="27:30" ht="15">
      <c r="AA1938"/>
      <c r="AB1938"/>
      <c r="AC1938"/>
      <c r="AD1938"/>
    </row>
    <row r="1939" spans="27:30" ht="15">
      <c r="AA1939"/>
      <c r="AB1939"/>
      <c r="AC1939"/>
      <c r="AD1939"/>
    </row>
    <row r="1940" spans="27:30" ht="15">
      <c r="AA1940"/>
      <c r="AB1940"/>
      <c r="AC1940"/>
      <c r="AD1940"/>
    </row>
    <row r="1941" spans="27:30" ht="15">
      <c r="AA1941"/>
      <c r="AB1941"/>
      <c r="AC1941"/>
      <c r="AD1941"/>
    </row>
    <row r="1942" spans="27:30" ht="15">
      <c r="AA1942"/>
      <c r="AB1942"/>
      <c r="AC1942"/>
      <c r="AD1942"/>
    </row>
    <row r="1943" spans="27:30" ht="15">
      <c r="AA1943"/>
      <c r="AB1943"/>
      <c r="AC1943"/>
      <c r="AD1943"/>
    </row>
    <row r="1944" spans="27:30" ht="15">
      <c r="AA1944"/>
      <c r="AB1944"/>
      <c r="AC1944"/>
      <c r="AD1944"/>
    </row>
    <row r="1945" spans="27:30" ht="15">
      <c r="AA1945"/>
      <c r="AB1945"/>
      <c r="AC1945"/>
      <c r="AD1945"/>
    </row>
    <row r="1946" spans="27:30" ht="15">
      <c r="AA1946"/>
      <c r="AB1946"/>
      <c r="AC1946"/>
      <c r="AD1946"/>
    </row>
    <row r="1947" spans="27:30" ht="15">
      <c r="AA1947"/>
      <c r="AB1947"/>
      <c r="AC1947"/>
      <c r="AD1947"/>
    </row>
    <row r="1948" spans="27:30" ht="15">
      <c r="AA1948"/>
      <c r="AB1948"/>
      <c r="AC1948"/>
      <c r="AD1948"/>
    </row>
    <row r="1949" spans="27:30" ht="15">
      <c r="AA1949"/>
      <c r="AB1949"/>
      <c r="AC1949"/>
      <c r="AD1949"/>
    </row>
    <row r="1950" spans="27:30" ht="15">
      <c r="AA1950"/>
      <c r="AB1950"/>
      <c r="AC1950"/>
      <c r="AD1950"/>
    </row>
    <row r="1951" spans="27:30" ht="15">
      <c r="AA1951"/>
      <c r="AB1951"/>
      <c r="AC1951"/>
      <c r="AD1951"/>
    </row>
    <row r="1952" spans="27:30" ht="15">
      <c r="AA1952"/>
      <c r="AB1952"/>
      <c r="AC1952"/>
      <c r="AD1952"/>
    </row>
    <row r="1953" spans="27:30" ht="15">
      <c r="AA1953"/>
      <c r="AB1953"/>
      <c r="AC1953"/>
      <c r="AD1953"/>
    </row>
    <row r="1954" spans="27:30" ht="15">
      <c r="AA1954"/>
      <c r="AB1954"/>
      <c r="AC1954"/>
      <c r="AD1954"/>
    </row>
    <row r="1955" spans="27:30" ht="15">
      <c r="AA1955"/>
      <c r="AB1955"/>
      <c r="AC1955"/>
      <c r="AD1955"/>
    </row>
    <row r="1956" spans="27:30" ht="15">
      <c r="AA1956"/>
      <c r="AB1956"/>
      <c r="AC1956"/>
      <c r="AD1956"/>
    </row>
    <row r="1957" spans="27:30" ht="15">
      <c r="AA1957"/>
      <c r="AB1957"/>
      <c r="AC1957"/>
      <c r="AD1957"/>
    </row>
    <row r="1958" spans="27:30" ht="15">
      <c r="AA1958"/>
      <c r="AB1958"/>
      <c r="AC1958"/>
      <c r="AD1958"/>
    </row>
    <row r="1959" spans="27:30" ht="15">
      <c r="AA1959"/>
      <c r="AB1959"/>
      <c r="AC1959"/>
      <c r="AD1959"/>
    </row>
    <row r="1960" spans="27:30" ht="15">
      <c r="AA1960"/>
      <c r="AB1960"/>
      <c r="AC1960"/>
      <c r="AD1960"/>
    </row>
    <row r="1961" spans="27:30" ht="15">
      <c r="AA1961"/>
      <c r="AB1961"/>
      <c r="AC1961"/>
      <c r="AD1961"/>
    </row>
    <row r="1962" spans="27:30" ht="15">
      <c r="AA1962"/>
      <c r="AB1962"/>
      <c r="AC1962"/>
      <c r="AD1962"/>
    </row>
    <row r="1963" spans="27:30" ht="15">
      <c r="AA1963"/>
      <c r="AB1963"/>
      <c r="AC1963"/>
      <c r="AD1963"/>
    </row>
    <row r="1964" spans="27:30" ht="15">
      <c r="AA1964"/>
      <c r="AB1964"/>
      <c r="AC1964"/>
      <c r="AD1964"/>
    </row>
    <row r="1965" spans="27:30" ht="15">
      <c r="AA1965"/>
      <c r="AB1965"/>
      <c r="AC1965"/>
      <c r="AD1965"/>
    </row>
    <row r="1966" spans="27:30" ht="15">
      <c r="AA1966"/>
      <c r="AB1966"/>
      <c r="AC1966"/>
      <c r="AD1966"/>
    </row>
    <row r="1967" spans="27:30" ht="15">
      <c r="AA1967"/>
      <c r="AB1967"/>
      <c r="AC1967"/>
      <c r="AD1967"/>
    </row>
    <row r="1968" spans="27:30" ht="15">
      <c r="AA1968"/>
      <c r="AB1968"/>
      <c r="AC1968"/>
      <c r="AD1968"/>
    </row>
    <row r="1969" spans="27:30" ht="15">
      <c r="AA1969"/>
      <c r="AB1969"/>
      <c r="AC1969"/>
      <c r="AD1969"/>
    </row>
    <row r="1970" spans="27:30" ht="15">
      <c r="AA1970"/>
      <c r="AB1970"/>
      <c r="AC1970"/>
      <c r="AD1970"/>
    </row>
    <row r="1971" spans="27:30" ht="15">
      <c r="AA1971"/>
      <c r="AB1971"/>
      <c r="AC1971"/>
      <c r="AD1971"/>
    </row>
    <row r="1972" spans="27:30" ht="15">
      <c r="AA1972"/>
      <c r="AB1972"/>
      <c r="AC1972"/>
      <c r="AD1972"/>
    </row>
    <row r="1973" spans="27:30" ht="15">
      <c r="AA1973"/>
      <c r="AB1973"/>
      <c r="AC1973"/>
      <c r="AD1973"/>
    </row>
    <row r="1974" spans="27:30" ht="15">
      <c r="AA1974"/>
      <c r="AB1974"/>
      <c r="AC1974"/>
      <c r="AD1974"/>
    </row>
    <row r="1975" spans="27:30" ht="15">
      <c r="AA1975"/>
      <c r="AB1975"/>
      <c r="AC1975"/>
      <c r="AD1975"/>
    </row>
    <row r="1976" spans="27:30" ht="15">
      <c r="AA1976"/>
      <c r="AB1976"/>
      <c r="AC1976"/>
      <c r="AD1976"/>
    </row>
    <row r="1977" spans="27:30" ht="15">
      <c r="AA1977"/>
      <c r="AB1977"/>
      <c r="AC1977"/>
      <c r="AD1977"/>
    </row>
    <row r="1978" spans="27:30" ht="15">
      <c r="AA1978"/>
      <c r="AB1978"/>
      <c r="AC1978"/>
      <c r="AD1978"/>
    </row>
    <row r="1979" spans="27:30" ht="15">
      <c r="AA1979"/>
      <c r="AB1979"/>
      <c r="AC1979"/>
      <c r="AD1979"/>
    </row>
    <row r="1980" spans="27:30" ht="15">
      <c r="AA1980"/>
      <c r="AB1980"/>
      <c r="AC1980"/>
      <c r="AD1980"/>
    </row>
    <row r="1981" spans="27:30" ht="15">
      <c r="AA1981"/>
      <c r="AB1981"/>
      <c r="AC1981"/>
      <c r="AD1981"/>
    </row>
    <row r="1982" spans="27:30" ht="15">
      <c r="AA1982"/>
      <c r="AB1982"/>
      <c r="AC1982"/>
      <c r="AD1982"/>
    </row>
    <row r="1983" spans="27:30" ht="15">
      <c r="AA1983"/>
      <c r="AB1983"/>
      <c r="AC1983"/>
      <c r="AD1983"/>
    </row>
    <row r="1984" spans="27:30" ht="15">
      <c r="AA1984"/>
      <c r="AB1984"/>
      <c r="AC1984"/>
      <c r="AD1984"/>
    </row>
    <row r="1985" spans="27:30" ht="15">
      <c r="AA1985"/>
      <c r="AB1985"/>
      <c r="AC1985"/>
      <c r="AD1985"/>
    </row>
    <row r="1986" spans="27:30" ht="15">
      <c r="AA1986"/>
      <c r="AB1986"/>
      <c r="AC1986"/>
      <c r="AD1986"/>
    </row>
    <row r="1987" spans="27:30" ht="15">
      <c r="AA1987"/>
      <c r="AB1987"/>
      <c r="AC1987"/>
      <c r="AD1987"/>
    </row>
    <row r="1988" spans="27:30" ht="15">
      <c r="AA1988"/>
      <c r="AB1988"/>
      <c r="AC1988"/>
      <c r="AD1988"/>
    </row>
    <row r="1989" spans="27:30" ht="15">
      <c r="AA1989"/>
      <c r="AB1989"/>
      <c r="AC1989"/>
      <c r="AD1989"/>
    </row>
    <row r="1990" spans="27:30" ht="15">
      <c r="AA1990"/>
      <c r="AB1990"/>
      <c r="AC1990"/>
      <c r="AD1990"/>
    </row>
    <row r="1991" spans="27:30" ht="15">
      <c r="AA1991"/>
      <c r="AB1991"/>
      <c r="AC1991"/>
      <c r="AD1991"/>
    </row>
    <row r="1992" spans="27:30" ht="15">
      <c r="AA1992"/>
      <c r="AB1992"/>
      <c r="AC1992"/>
      <c r="AD1992"/>
    </row>
    <row r="1993" spans="27:30" ht="15">
      <c r="AA1993"/>
      <c r="AB1993"/>
      <c r="AC1993"/>
      <c r="AD1993"/>
    </row>
    <row r="1994" spans="27:30" ht="15">
      <c r="AA1994"/>
      <c r="AB1994"/>
      <c r="AC1994"/>
      <c r="AD1994"/>
    </row>
    <row r="1995" spans="27:30" ht="15">
      <c r="AA1995"/>
      <c r="AB1995"/>
      <c r="AC1995"/>
      <c r="AD1995"/>
    </row>
    <row r="1996" spans="27:30" ht="15">
      <c r="AA1996"/>
      <c r="AB1996"/>
      <c r="AC1996"/>
      <c r="AD1996"/>
    </row>
    <row r="1997" spans="27:30" ht="15">
      <c r="AA1997"/>
      <c r="AB1997"/>
      <c r="AC1997"/>
      <c r="AD1997"/>
    </row>
    <row r="1998" spans="27:30" ht="15">
      <c r="AA1998"/>
      <c r="AB1998"/>
      <c r="AC1998"/>
      <c r="AD1998"/>
    </row>
    <row r="1999" spans="27:30" ht="15">
      <c r="AA1999"/>
      <c r="AB1999"/>
      <c r="AC1999"/>
      <c r="AD1999"/>
    </row>
    <row r="2000" spans="27:30" ht="15">
      <c r="AA2000"/>
      <c r="AB2000"/>
      <c r="AC2000"/>
      <c r="AD2000"/>
    </row>
    <row r="2001" spans="27:30" ht="15">
      <c r="AA2001"/>
      <c r="AB2001"/>
      <c r="AC2001"/>
      <c r="AD2001"/>
    </row>
    <row r="2002" spans="27:30" ht="15">
      <c r="AA2002"/>
      <c r="AB2002"/>
      <c r="AC2002"/>
      <c r="AD2002"/>
    </row>
    <row r="2003" spans="27:30" ht="15">
      <c r="AA2003"/>
      <c r="AB2003"/>
      <c r="AC2003"/>
      <c r="AD2003"/>
    </row>
    <row r="2004" spans="27:30" ht="15">
      <c r="AA2004"/>
      <c r="AB2004"/>
      <c r="AC2004"/>
      <c r="AD2004"/>
    </row>
    <row r="2005" spans="27:30" ht="15">
      <c r="AA2005"/>
      <c r="AB2005"/>
      <c r="AC2005"/>
      <c r="AD2005"/>
    </row>
    <row r="2006" spans="27:30" ht="15">
      <c r="AA2006"/>
      <c r="AB2006"/>
      <c r="AC2006"/>
      <c r="AD2006"/>
    </row>
    <row r="2007" spans="27:30" ht="15">
      <c r="AA2007"/>
      <c r="AB2007"/>
      <c r="AC2007"/>
      <c r="AD2007"/>
    </row>
    <row r="2008" spans="27:30" ht="15">
      <c r="AA2008"/>
      <c r="AB2008"/>
      <c r="AC2008"/>
      <c r="AD2008"/>
    </row>
    <row r="2009" spans="27:30" ht="15">
      <c r="AA2009"/>
      <c r="AB2009"/>
      <c r="AC2009"/>
      <c r="AD2009"/>
    </row>
    <row r="2010" spans="27:30" ht="15">
      <c r="AA2010"/>
      <c r="AB2010"/>
      <c r="AC2010"/>
      <c r="AD2010"/>
    </row>
    <row r="2011" spans="27:30" ht="15">
      <c r="AA2011"/>
      <c r="AB2011"/>
      <c r="AC2011"/>
      <c r="AD2011"/>
    </row>
    <row r="2012" spans="27:30" ht="15">
      <c r="AA2012"/>
      <c r="AB2012"/>
      <c r="AC2012"/>
      <c r="AD2012"/>
    </row>
    <row r="2013" spans="27:30" ht="15">
      <c r="AA2013"/>
      <c r="AB2013"/>
      <c r="AC2013"/>
      <c r="AD2013"/>
    </row>
    <row r="2014" spans="27:30" ht="15">
      <c r="AA2014"/>
      <c r="AB2014"/>
      <c r="AC2014"/>
      <c r="AD2014"/>
    </row>
    <row r="2015" spans="27:30" ht="15">
      <c r="AA2015"/>
      <c r="AB2015"/>
      <c r="AC2015"/>
      <c r="AD2015"/>
    </row>
    <row r="2016" spans="27:30" ht="15">
      <c r="AA2016"/>
      <c r="AB2016"/>
      <c r="AC2016"/>
      <c r="AD2016"/>
    </row>
    <row r="2017" spans="27:30" ht="15">
      <c r="AA2017"/>
      <c r="AB2017"/>
      <c r="AC2017"/>
      <c r="AD2017"/>
    </row>
    <row r="2018" spans="27:30" ht="15">
      <c r="AA2018"/>
      <c r="AB2018"/>
      <c r="AC2018"/>
      <c r="AD2018"/>
    </row>
    <row r="2019" spans="27:30" ht="15">
      <c r="AA2019"/>
      <c r="AB2019"/>
      <c r="AC2019"/>
      <c r="AD2019"/>
    </row>
    <row r="2020" spans="27:30" ht="15">
      <c r="AA2020"/>
      <c r="AB2020"/>
      <c r="AC2020"/>
      <c r="AD2020"/>
    </row>
    <row r="2021" spans="27:30" ht="15">
      <c r="AA2021"/>
      <c r="AB2021"/>
      <c r="AC2021"/>
      <c r="AD2021"/>
    </row>
    <row r="2022" spans="27:30" ht="15">
      <c r="AA2022"/>
      <c r="AB2022"/>
      <c r="AC2022"/>
      <c r="AD2022"/>
    </row>
    <row r="2023" spans="27:30" ht="15">
      <c r="AA2023"/>
      <c r="AB2023"/>
      <c r="AC2023"/>
      <c r="AD2023"/>
    </row>
    <row r="2024" spans="27:30" ht="15">
      <c r="AA2024"/>
      <c r="AB2024"/>
      <c r="AC2024"/>
      <c r="AD2024"/>
    </row>
    <row r="2025" spans="27:30" ht="15">
      <c r="AA2025"/>
      <c r="AB2025"/>
      <c r="AC2025"/>
      <c r="AD2025"/>
    </row>
    <row r="2026" spans="27:30" ht="15">
      <c r="AA2026"/>
      <c r="AB2026"/>
      <c r="AC2026"/>
      <c r="AD2026"/>
    </row>
    <row r="2027" spans="27:30" ht="15">
      <c r="AA2027"/>
      <c r="AB2027"/>
      <c r="AC2027"/>
      <c r="AD2027"/>
    </row>
    <row r="2028" spans="27:30" ht="15">
      <c r="AA2028"/>
      <c r="AB2028"/>
      <c r="AC2028"/>
      <c r="AD2028"/>
    </row>
    <row r="2029" spans="27:30" ht="15">
      <c r="AA2029"/>
      <c r="AB2029"/>
      <c r="AC2029"/>
      <c r="AD2029"/>
    </row>
    <row r="2030" spans="27:30" ht="15">
      <c r="AA2030"/>
      <c r="AB2030"/>
      <c r="AC2030"/>
      <c r="AD2030"/>
    </row>
    <row r="2031" spans="27:30" ht="15">
      <c r="AA2031"/>
      <c r="AB2031"/>
      <c r="AC2031"/>
      <c r="AD2031"/>
    </row>
    <row r="2032" spans="27:30" ht="15">
      <c r="AA2032"/>
      <c r="AB2032"/>
      <c r="AC2032"/>
      <c r="AD2032"/>
    </row>
    <row r="2033" spans="27:30" ht="15">
      <c r="AA2033"/>
      <c r="AB2033"/>
      <c r="AC2033"/>
      <c r="AD2033"/>
    </row>
    <row r="2034" spans="27:30" ht="15">
      <c r="AA2034"/>
      <c r="AB2034"/>
      <c r="AC2034"/>
      <c r="AD2034"/>
    </row>
    <row r="2035" spans="27:30" ht="15">
      <c r="AA2035"/>
      <c r="AB2035"/>
      <c r="AC2035"/>
      <c r="AD2035"/>
    </row>
    <row r="2036" spans="27:30" ht="15">
      <c r="AA2036"/>
      <c r="AB2036"/>
      <c r="AC2036"/>
      <c r="AD2036"/>
    </row>
    <row r="2037" spans="27:30" ht="15">
      <c r="AA2037"/>
      <c r="AB2037"/>
      <c r="AC2037"/>
      <c r="AD2037"/>
    </row>
    <row r="2038" spans="27:30" ht="15">
      <c r="AA2038"/>
      <c r="AB2038"/>
      <c r="AC2038"/>
      <c r="AD2038"/>
    </row>
    <row r="2039" spans="27:30" ht="15">
      <c r="AA2039"/>
      <c r="AB2039"/>
      <c r="AC2039"/>
      <c r="AD2039"/>
    </row>
    <row r="2040" spans="27:30" ht="15">
      <c r="AA2040"/>
      <c r="AB2040"/>
      <c r="AC2040"/>
      <c r="AD2040"/>
    </row>
    <row r="2041" spans="27:30" ht="15">
      <c r="AA2041"/>
      <c r="AB2041"/>
      <c r="AC2041"/>
      <c r="AD2041"/>
    </row>
    <row r="2042" spans="27:30" ht="15">
      <c r="AA2042"/>
      <c r="AB2042"/>
      <c r="AC2042"/>
      <c r="AD2042"/>
    </row>
    <row r="2043" spans="27:30" ht="15">
      <c r="AA2043"/>
      <c r="AB2043"/>
      <c r="AC2043"/>
      <c r="AD2043"/>
    </row>
    <row r="2044" spans="27:30" ht="15">
      <c r="AA2044"/>
      <c r="AB2044"/>
      <c r="AC2044"/>
      <c r="AD2044"/>
    </row>
    <row r="2045" spans="27:30" ht="15">
      <c r="AA2045"/>
      <c r="AB2045"/>
      <c r="AC2045"/>
      <c r="AD2045"/>
    </row>
    <row r="2046" spans="27:30" ht="15">
      <c r="AA2046"/>
      <c r="AB2046"/>
      <c r="AC2046"/>
      <c r="AD2046"/>
    </row>
    <row r="2047" spans="27:30" ht="15">
      <c r="AA2047"/>
      <c r="AB2047"/>
      <c r="AC2047"/>
      <c r="AD2047"/>
    </row>
    <row r="2048" spans="27:30" ht="15">
      <c r="AA2048"/>
      <c r="AB2048"/>
      <c r="AC2048"/>
      <c r="AD2048"/>
    </row>
    <row r="2049" spans="27:30" ht="15">
      <c r="AA2049"/>
      <c r="AB2049"/>
      <c r="AC2049"/>
      <c r="AD2049"/>
    </row>
    <row r="2050" spans="27:30" ht="15">
      <c r="AA2050"/>
      <c r="AB2050"/>
      <c r="AC2050"/>
      <c r="AD2050"/>
    </row>
    <row r="2051" spans="27:30" ht="15">
      <c r="AA2051"/>
      <c r="AB2051"/>
      <c r="AC2051"/>
      <c r="AD2051"/>
    </row>
    <row r="2052" spans="27:30" ht="15">
      <c r="AA2052"/>
      <c r="AB2052"/>
      <c r="AC2052"/>
      <c r="AD2052"/>
    </row>
    <row r="2053" spans="27:30" ht="15">
      <c r="AA2053"/>
      <c r="AB2053"/>
      <c r="AC2053"/>
      <c r="AD2053"/>
    </row>
    <row r="2054" spans="27:30" ht="15">
      <c r="AA2054"/>
      <c r="AB2054"/>
      <c r="AC2054"/>
      <c r="AD2054"/>
    </row>
    <row r="2055" spans="27:30" ht="15">
      <c r="AA2055"/>
      <c r="AB2055"/>
      <c r="AC2055"/>
      <c r="AD2055"/>
    </row>
    <row r="2056" spans="27:30" ht="15">
      <c r="AA2056"/>
      <c r="AB2056"/>
      <c r="AC2056"/>
      <c r="AD2056"/>
    </row>
    <row r="2057" spans="27:30" ht="15">
      <c r="AA2057"/>
      <c r="AB2057"/>
      <c r="AC2057"/>
      <c r="AD2057"/>
    </row>
    <row r="2058" spans="27:30" ht="15">
      <c r="AA2058"/>
      <c r="AB2058"/>
      <c r="AC2058"/>
      <c r="AD2058"/>
    </row>
    <row r="2059" spans="27:30" ht="15">
      <c r="AA2059"/>
      <c r="AB2059"/>
      <c r="AC2059"/>
      <c r="AD2059"/>
    </row>
    <row r="2060" spans="27:30" ht="15">
      <c r="AA2060"/>
      <c r="AB2060"/>
      <c r="AC2060"/>
      <c r="AD2060"/>
    </row>
    <row r="2061" spans="27:30" ht="15">
      <c r="AA2061"/>
      <c r="AB2061"/>
      <c r="AC2061"/>
      <c r="AD2061"/>
    </row>
    <row r="2062" spans="27:30" ht="15">
      <c r="AA2062"/>
      <c r="AB2062"/>
      <c r="AC2062"/>
      <c r="AD2062"/>
    </row>
    <row r="2063" spans="27:30" ht="15">
      <c r="AA2063"/>
      <c r="AB2063"/>
      <c r="AC2063"/>
      <c r="AD2063"/>
    </row>
    <row r="2064" spans="27:30" ht="15">
      <c r="AA2064"/>
      <c r="AB2064"/>
      <c r="AC2064"/>
      <c r="AD2064"/>
    </row>
    <row r="2065" spans="27:30" ht="15">
      <c r="AA2065"/>
      <c r="AB2065"/>
      <c r="AC2065"/>
      <c r="AD2065"/>
    </row>
    <row r="2066" spans="27:30" ht="15">
      <c r="AA2066"/>
      <c r="AB2066"/>
      <c r="AC2066"/>
      <c r="AD2066"/>
    </row>
    <row r="2067" spans="27:30" ht="15">
      <c r="AA2067"/>
      <c r="AB2067"/>
      <c r="AC2067"/>
      <c r="AD2067"/>
    </row>
    <row r="2068" spans="27:30" ht="15">
      <c r="AA2068"/>
      <c r="AB2068"/>
      <c r="AC2068"/>
      <c r="AD2068"/>
    </row>
    <row r="2069" spans="27:30" ht="15">
      <c r="AA2069"/>
      <c r="AB2069"/>
      <c r="AC2069"/>
      <c r="AD2069"/>
    </row>
    <row r="2070" spans="27:30" ht="15">
      <c r="AA2070"/>
      <c r="AB2070"/>
      <c r="AC2070"/>
      <c r="AD2070"/>
    </row>
    <row r="2071" spans="27:30" ht="15">
      <c r="AA2071"/>
      <c r="AB2071"/>
      <c r="AC2071"/>
      <c r="AD2071"/>
    </row>
    <row r="2072" spans="27:30" ht="15">
      <c r="AA2072"/>
      <c r="AB2072"/>
      <c r="AC2072"/>
      <c r="AD2072"/>
    </row>
    <row r="2073" spans="27:30" ht="15">
      <c r="AA2073"/>
      <c r="AB2073"/>
      <c r="AC2073"/>
      <c r="AD2073"/>
    </row>
    <row r="2074" spans="27:30" ht="15">
      <c r="AA2074"/>
      <c r="AB2074"/>
      <c r="AC2074"/>
      <c r="AD2074"/>
    </row>
    <row r="2075" spans="27:30" ht="15">
      <c r="AA2075"/>
      <c r="AB2075"/>
      <c r="AC2075"/>
      <c r="AD2075"/>
    </row>
    <row r="2076" spans="27:30" ht="15">
      <c r="AA2076"/>
      <c r="AB2076"/>
      <c r="AC2076"/>
      <c r="AD2076"/>
    </row>
    <row r="2077" spans="27:30" ht="15">
      <c r="AA2077"/>
      <c r="AB2077"/>
      <c r="AC2077"/>
      <c r="AD2077"/>
    </row>
    <row r="2078" spans="27:30" ht="15">
      <c r="AA2078"/>
      <c r="AB2078"/>
      <c r="AC2078"/>
      <c r="AD2078"/>
    </row>
    <row r="2079" spans="27:30" ht="15">
      <c r="AA2079"/>
      <c r="AB2079"/>
      <c r="AC2079"/>
      <c r="AD2079"/>
    </row>
    <row r="2080" spans="27:30" ht="15">
      <c r="AA2080"/>
      <c r="AB2080"/>
      <c r="AC2080"/>
      <c r="AD2080"/>
    </row>
    <row r="2081" spans="27:30" ht="15">
      <c r="AA2081"/>
      <c r="AB2081"/>
      <c r="AC2081"/>
      <c r="AD2081"/>
    </row>
    <row r="2082" spans="27:30" ht="15">
      <c r="AA2082"/>
      <c r="AB2082"/>
      <c r="AC2082"/>
      <c r="AD2082"/>
    </row>
    <row r="2083" spans="27:30" ht="15">
      <c r="AA2083"/>
      <c r="AB2083"/>
      <c r="AC2083"/>
      <c r="AD2083"/>
    </row>
    <row r="2084" spans="27:30" ht="15">
      <c r="AA2084"/>
      <c r="AB2084"/>
      <c r="AC2084"/>
      <c r="AD2084"/>
    </row>
    <row r="2085" spans="27:30" ht="15">
      <c r="AA2085"/>
      <c r="AB2085"/>
      <c r="AC2085"/>
      <c r="AD2085"/>
    </row>
    <row r="2086" spans="27:30" ht="15">
      <c r="AA2086"/>
      <c r="AB2086"/>
      <c r="AC2086"/>
      <c r="AD2086"/>
    </row>
    <row r="2087" spans="27:30" ht="15">
      <c r="AA2087"/>
      <c r="AB2087"/>
      <c r="AC2087"/>
      <c r="AD2087"/>
    </row>
    <row r="2088" spans="27:30" ht="15">
      <c r="AA2088"/>
      <c r="AB2088"/>
      <c r="AC2088"/>
      <c r="AD2088"/>
    </row>
    <row r="2089" spans="27:30" ht="15">
      <c r="AA2089"/>
      <c r="AB2089"/>
      <c r="AC2089"/>
      <c r="AD2089"/>
    </row>
    <row r="2090" spans="27:30" ht="15">
      <c r="AA2090"/>
      <c r="AB2090"/>
      <c r="AC2090"/>
      <c r="AD2090"/>
    </row>
    <row r="2091" spans="27:30" ht="15">
      <c r="AA2091"/>
      <c r="AB2091"/>
      <c r="AC2091"/>
      <c r="AD2091"/>
    </row>
    <row r="2092" spans="27:30" ht="15">
      <c r="AA2092"/>
      <c r="AB2092"/>
      <c r="AC2092"/>
      <c r="AD2092"/>
    </row>
    <row r="2093" spans="27:30" ht="15">
      <c r="AA2093"/>
      <c r="AB2093"/>
      <c r="AC2093"/>
      <c r="AD2093"/>
    </row>
    <row r="2094" spans="27:30" ht="15">
      <c r="AA2094"/>
      <c r="AB2094"/>
      <c r="AC2094"/>
      <c r="AD2094"/>
    </row>
    <row r="2095" spans="27:30" ht="15">
      <c r="AA2095"/>
      <c r="AB2095"/>
      <c r="AC2095"/>
      <c r="AD2095"/>
    </row>
    <row r="2096" spans="27:30" ht="15">
      <c r="AA2096"/>
      <c r="AB2096"/>
      <c r="AC2096"/>
      <c r="AD2096"/>
    </row>
    <row r="2097" spans="27:30" ht="15">
      <c r="AA2097"/>
      <c r="AB2097"/>
      <c r="AC2097"/>
      <c r="AD2097"/>
    </row>
    <row r="2098" spans="27:30" ht="15">
      <c r="AA2098"/>
      <c r="AB2098"/>
      <c r="AC2098"/>
      <c r="AD2098"/>
    </row>
    <row r="2099" spans="27:30" ht="15">
      <c r="AA2099"/>
      <c r="AB2099"/>
      <c r="AC2099"/>
      <c r="AD2099"/>
    </row>
    <row r="2100" spans="27:30" ht="15">
      <c r="AA2100"/>
      <c r="AB2100"/>
      <c r="AC2100"/>
      <c r="AD2100"/>
    </row>
    <row r="2101" spans="27:30" ht="15">
      <c r="AA2101"/>
      <c r="AB2101"/>
      <c r="AC2101"/>
      <c r="AD2101"/>
    </row>
    <row r="2102" spans="27:30" ht="15">
      <c r="AA2102"/>
      <c r="AB2102"/>
      <c r="AC2102"/>
      <c r="AD2102"/>
    </row>
    <row r="2103" spans="27:30" ht="15">
      <c r="AA2103"/>
      <c r="AB2103"/>
      <c r="AC2103"/>
      <c r="AD2103"/>
    </row>
    <row r="2104" spans="27:30" ht="15">
      <c r="AA2104"/>
      <c r="AB2104"/>
      <c r="AC2104"/>
      <c r="AD2104"/>
    </row>
    <row r="2105" spans="27:30" ht="15">
      <c r="AA2105"/>
      <c r="AB2105"/>
      <c r="AC2105"/>
      <c r="AD2105"/>
    </row>
    <row r="2106" spans="27:30" ht="15">
      <c r="AA2106"/>
      <c r="AB2106"/>
      <c r="AC2106"/>
      <c r="AD2106"/>
    </row>
    <row r="2107" spans="27:30" ht="15">
      <c r="AA2107"/>
      <c r="AB2107"/>
      <c r="AC2107"/>
      <c r="AD2107"/>
    </row>
    <row r="2108" spans="27:30" ht="15">
      <c r="AA2108"/>
      <c r="AB2108"/>
      <c r="AC2108"/>
      <c r="AD2108"/>
    </row>
    <row r="2109" spans="27:30" ht="15">
      <c r="AA2109"/>
      <c r="AB2109"/>
      <c r="AC2109"/>
      <c r="AD2109"/>
    </row>
    <row r="2110" spans="27:30" ht="15">
      <c r="AA2110"/>
      <c r="AB2110"/>
      <c r="AC2110"/>
      <c r="AD2110"/>
    </row>
    <row r="2111" spans="27:30" ht="15">
      <c r="AA2111"/>
      <c r="AB2111"/>
      <c r="AC2111"/>
      <c r="AD2111"/>
    </row>
    <row r="2112" spans="27:30" ht="15">
      <c r="AA2112"/>
      <c r="AB2112"/>
      <c r="AC2112"/>
      <c r="AD2112"/>
    </row>
    <row r="2113" spans="27:30" ht="15">
      <c r="AA2113"/>
      <c r="AB2113"/>
      <c r="AC2113"/>
      <c r="AD2113"/>
    </row>
    <row r="2114" spans="27:30" ht="15">
      <c r="AA2114"/>
      <c r="AB2114"/>
      <c r="AC2114"/>
      <c r="AD2114"/>
    </row>
    <row r="2115" spans="27:30" ht="15">
      <c r="AA2115"/>
      <c r="AB2115"/>
      <c r="AC2115"/>
      <c r="AD2115"/>
    </row>
    <row r="2116" spans="27:30" ht="15">
      <c r="AA2116"/>
      <c r="AB2116"/>
      <c r="AC2116"/>
      <c r="AD2116"/>
    </row>
    <row r="2117" spans="27:30" ht="15">
      <c r="AA2117"/>
      <c r="AB2117"/>
      <c r="AC2117"/>
      <c r="AD2117"/>
    </row>
    <row r="2118" spans="27:30" ht="15">
      <c r="AA2118"/>
      <c r="AB2118"/>
      <c r="AC2118"/>
      <c r="AD2118"/>
    </row>
    <row r="2119" spans="27:30" ht="15">
      <c r="AA2119"/>
      <c r="AB2119"/>
      <c r="AC2119"/>
      <c r="AD2119"/>
    </row>
    <row r="2120" spans="27:30" ht="15">
      <c r="AA2120"/>
      <c r="AB2120"/>
      <c r="AC2120"/>
      <c r="AD2120"/>
    </row>
    <row r="2121" spans="27:30" ht="15">
      <c r="AA2121"/>
      <c r="AB2121"/>
      <c r="AC2121"/>
      <c r="AD2121"/>
    </row>
    <row r="2122" spans="27:30" ht="15">
      <c r="AA2122"/>
      <c r="AB2122"/>
      <c r="AC2122"/>
      <c r="AD2122"/>
    </row>
    <row r="2123" spans="27:30" ht="15">
      <c r="AA2123"/>
      <c r="AB2123"/>
      <c r="AC2123"/>
      <c r="AD2123"/>
    </row>
    <row r="2124" spans="27:30" ht="15">
      <c r="AA2124"/>
      <c r="AB2124"/>
      <c r="AC2124"/>
      <c r="AD2124"/>
    </row>
    <row r="2125" spans="27:30" ht="15">
      <c r="AA2125"/>
      <c r="AB2125"/>
      <c r="AC2125"/>
      <c r="AD2125"/>
    </row>
    <row r="2126" spans="27:30" ht="15">
      <c r="AA2126"/>
      <c r="AB2126"/>
      <c r="AC2126"/>
      <c r="AD2126"/>
    </row>
    <row r="2127" spans="27:30" ht="15">
      <c r="AA2127"/>
      <c r="AB2127"/>
      <c r="AC2127"/>
      <c r="AD2127"/>
    </row>
    <row r="2128" spans="27:30" ht="15">
      <c r="AA2128"/>
      <c r="AB2128"/>
      <c r="AC2128"/>
      <c r="AD2128"/>
    </row>
    <row r="2129" spans="27:30" ht="15">
      <c r="AA2129"/>
      <c r="AB2129"/>
      <c r="AC2129"/>
      <c r="AD2129"/>
    </row>
    <row r="2130" spans="27:30" ht="15">
      <c r="AA2130"/>
      <c r="AB2130"/>
      <c r="AC2130"/>
      <c r="AD2130"/>
    </row>
    <row r="2131" spans="27:30" ht="15">
      <c r="AA2131"/>
      <c r="AB2131"/>
      <c r="AC2131"/>
      <c r="AD2131"/>
    </row>
    <row r="2132" spans="27:30" ht="15">
      <c r="AA2132"/>
      <c r="AB2132"/>
      <c r="AC2132"/>
      <c r="AD2132"/>
    </row>
    <row r="2133" spans="27:30" ht="15">
      <c r="AA2133"/>
      <c r="AB2133"/>
      <c r="AC2133"/>
      <c r="AD2133"/>
    </row>
    <row r="2134" spans="27:30" ht="15">
      <c r="AA2134"/>
      <c r="AB2134"/>
      <c r="AC2134"/>
      <c r="AD2134"/>
    </row>
    <row r="2135" spans="27:30" ht="15">
      <c r="AA2135"/>
      <c r="AB2135"/>
      <c r="AC2135"/>
      <c r="AD2135"/>
    </row>
    <row r="2136" spans="27:30" ht="15">
      <c r="AA2136"/>
      <c r="AB2136"/>
      <c r="AC2136"/>
      <c r="AD2136"/>
    </row>
    <row r="2137" spans="27:30" ht="15">
      <c r="AA2137"/>
      <c r="AB2137"/>
      <c r="AC2137"/>
      <c r="AD2137"/>
    </row>
    <row r="2138" spans="27:30" ht="15">
      <c r="AA2138"/>
      <c r="AB2138"/>
      <c r="AC2138"/>
      <c r="AD2138"/>
    </row>
    <row r="2139" spans="27:30" ht="15">
      <c r="AA2139"/>
      <c r="AB2139"/>
      <c r="AC2139"/>
      <c r="AD2139"/>
    </row>
    <row r="2140" spans="27:30" ht="15">
      <c r="AA2140"/>
      <c r="AB2140"/>
      <c r="AC2140"/>
      <c r="AD2140"/>
    </row>
    <row r="2141" spans="27:30" ht="15">
      <c r="AA2141"/>
      <c r="AB2141"/>
      <c r="AC2141"/>
      <c r="AD2141"/>
    </row>
    <row r="2142" spans="27:30" ht="15">
      <c r="AA2142"/>
      <c r="AB2142"/>
      <c r="AC2142"/>
      <c r="AD2142"/>
    </row>
    <row r="2143" spans="27:30" ht="15">
      <c r="AA2143"/>
      <c r="AB2143"/>
      <c r="AC2143"/>
      <c r="AD2143"/>
    </row>
    <row r="2144" spans="27:30" ht="15">
      <c r="AA2144"/>
      <c r="AB2144"/>
      <c r="AC2144"/>
      <c r="AD2144"/>
    </row>
    <row r="2145" spans="27:30" ht="15">
      <c r="AA2145"/>
      <c r="AB2145"/>
      <c r="AC2145"/>
      <c r="AD2145"/>
    </row>
    <row r="2146" spans="27:30" ht="15">
      <c r="AA2146"/>
      <c r="AB2146"/>
      <c r="AC2146"/>
      <c r="AD2146"/>
    </row>
    <row r="2147" spans="27:30" ht="15">
      <c r="AA2147"/>
      <c r="AB2147"/>
      <c r="AC2147"/>
      <c r="AD2147"/>
    </row>
    <row r="2148" spans="27:30" ht="15">
      <c r="AA2148"/>
      <c r="AB2148"/>
      <c r="AC2148"/>
      <c r="AD2148"/>
    </row>
    <row r="2149" spans="27:30" ht="15">
      <c r="AA2149"/>
      <c r="AB2149"/>
      <c r="AC2149"/>
      <c r="AD2149"/>
    </row>
    <row r="2150" spans="27:30" ht="15">
      <c r="AA2150"/>
      <c r="AB2150"/>
      <c r="AC2150"/>
      <c r="AD2150"/>
    </row>
    <row r="2151" spans="27:30" ht="15">
      <c r="AA2151"/>
      <c r="AB2151"/>
      <c r="AC2151"/>
      <c r="AD2151"/>
    </row>
    <row r="2152" spans="27:30" ht="15">
      <c r="AA2152"/>
      <c r="AB2152"/>
      <c r="AC2152"/>
      <c r="AD2152"/>
    </row>
    <row r="2153" spans="27:30" ht="15">
      <c r="AA2153"/>
      <c r="AB2153"/>
      <c r="AC2153"/>
      <c r="AD2153"/>
    </row>
    <row r="2154" spans="27:30" ht="15">
      <c r="AA2154"/>
      <c r="AB2154"/>
      <c r="AC2154"/>
      <c r="AD2154"/>
    </row>
    <row r="2155" spans="27:30" ht="15">
      <c r="AA2155"/>
      <c r="AB2155"/>
      <c r="AC2155"/>
      <c r="AD2155"/>
    </row>
    <row r="2156" spans="27:30" ht="15">
      <c r="AA2156"/>
      <c r="AB2156"/>
      <c r="AC2156"/>
      <c r="AD2156"/>
    </row>
    <row r="2157" spans="27:30" ht="15">
      <c r="AA2157"/>
      <c r="AB2157"/>
      <c r="AC2157"/>
      <c r="AD2157"/>
    </row>
    <row r="2158" spans="27:30" ht="15">
      <c r="AA2158"/>
      <c r="AB2158"/>
      <c r="AC2158"/>
      <c r="AD2158"/>
    </row>
    <row r="2159" spans="27:30" ht="15">
      <c r="AA2159"/>
      <c r="AB2159"/>
      <c r="AC2159"/>
      <c r="AD2159"/>
    </row>
    <row r="2160" spans="27:30" ht="15">
      <c r="AA2160"/>
      <c r="AB2160"/>
      <c r="AC2160"/>
      <c r="AD2160"/>
    </row>
    <row r="2161" spans="27:30" ht="15">
      <c r="AA2161"/>
      <c r="AB2161"/>
      <c r="AC2161"/>
      <c r="AD2161"/>
    </row>
    <row r="2162" spans="27:30" ht="15">
      <c r="AA2162"/>
      <c r="AB2162"/>
      <c r="AC2162"/>
      <c r="AD2162"/>
    </row>
    <row r="2163" spans="27:30" ht="15">
      <c r="AA2163"/>
      <c r="AB2163"/>
      <c r="AC2163"/>
      <c r="AD2163"/>
    </row>
    <row r="2164" spans="27:30" ht="15">
      <c r="AA2164"/>
      <c r="AB2164"/>
      <c r="AC2164"/>
      <c r="AD2164"/>
    </row>
    <row r="2165" spans="27:30" ht="15">
      <c r="AA2165"/>
      <c r="AB2165"/>
      <c r="AC2165"/>
      <c r="AD2165"/>
    </row>
    <row r="2166" spans="27:30" ht="15">
      <c r="AA2166"/>
      <c r="AB2166"/>
      <c r="AC2166"/>
      <c r="AD2166"/>
    </row>
    <row r="2167" spans="27:30" ht="15">
      <c r="AA2167"/>
      <c r="AB2167"/>
      <c r="AC2167"/>
      <c r="AD2167"/>
    </row>
    <row r="2168" spans="27:30" ht="15">
      <c r="AA2168"/>
      <c r="AB2168"/>
      <c r="AC2168"/>
      <c r="AD2168"/>
    </row>
    <row r="2169" spans="27:30" ht="15">
      <c r="AA2169"/>
      <c r="AB2169"/>
      <c r="AC2169"/>
      <c r="AD2169"/>
    </row>
    <row r="2170" spans="27:30" ht="15">
      <c r="AA2170"/>
      <c r="AB2170"/>
      <c r="AC2170"/>
      <c r="AD2170"/>
    </row>
    <row r="2171" spans="27:30" ht="15">
      <c r="AA2171"/>
      <c r="AB2171"/>
      <c r="AC2171"/>
      <c r="AD2171"/>
    </row>
    <row r="2172" spans="27:30" ht="15">
      <c r="AA2172"/>
      <c r="AB2172"/>
      <c r="AC2172"/>
      <c r="AD2172"/>
    </row>
    <row r="2173" spans="27:30" ht="15">
      <c r="AA2173"/>
      <c r="AB2173"/>
      <c r="AC2173"/>
      <c r="AD2173"/>
    </row>
    <row r="2174" spans="27:30" ht="15">
      <c r="AA2174"/>
      <c r="AB2174"/>
      <c r="AC2174"/>
      <c r="AD2174"/>
    </row>
    <row r="2175" spans="27:30" ht="15">
      <c r="AA2175"/>
      <c r="AB2175"/>
      <c r="AC2175"/>
      <c r="AD2175"/>
    </row>
    <row r="2176" spans="27:30" ht="15">
      <c r="AA2176"/>
      <c r="AB2176"/>
      <c r="AC2176"/>
      <c r="AD2176"/>
    </row>
    <row r="2177" spans="27:30" ht="15">
      <c r="AA2177"/>
      <c r="AB2177"/>
      <c r="AC2177"/>
      <c r="AD2177"/>
    </row>
    <row r="2178" spans="27:30" ht="15">
      <c r="AA2178"/>
      <c r="AB2178"/>
      <c r="AC2178"/>
      <c r="AD2178"/>
    </row>
    <row r="2179" spans="27:30" ht="15">
      <c r="AA2179"/>
      <c r="AB2179"/>
      <c r="AC2179"/>
      <c r="AD2179"/>
    </row>
    <row r="2180" spans="27:30" ht="15">
      <c r="AA2180"/>
      <c r="AB2180"/>
      <c r="AC2180"/>
      <c r="AD2180"/>
    </row>
    <row r="2181" spans="27:30" ht="15">
      <c r="AA2181"/>
      <c r="AB2181"/>
      <c r="AC2181"/>
      <c r="AD2181"/>
    </row>
    <row r="2182" spans="27:30" ht="15">
      <c r="AA2182"/>
      <c r="AB2182"/>
      <c r="AC2182"/>
      <c r="AD2182"/>
    </row>
    <row r="2183" spans="27:30" ht="15">
      <c r="AA2183"/>
      <c r="AB2183"/>
      <c r="AC2183"/>
      <c r="AD2183"/>
    </row>
    <row r="2184" spans="27:30" ht="15">
      <c r="AA2184"/>
      <c r="AB2184"/>
      <c r="AC2184"/>
      <c r="AD2184"/>
    </row>
    <row r="2185" spans="27:30" ht="15">
      <c r="AA2185"/>
      <c r="AB2185"/>
      <c r="AC2185"/>
      <c r="AD2185"/>
    </row>
    <row r="2186" spans="27:30" ht="15">
      <c r="AA2186"/>
      <c r="AB2186"/>
      <c r="AC2186"/>
      <c r="AD2186"/>
    </row>
    <row r="2187" spans="27:30" ht="15">
      <c r="AA2187"/>
      <c r="AB2187"/>
      <c r="AC2187"/>
      <c r="AD2187"/>
    </row>
    <row r="2188" spans="27:30" ht="15">
      <c r="AA2188"/>
      <c r="AB2188"/>
      <c r="AC2188"/>
      <c r="AD2188"/>
    </row>
    <row r="2189" spans="27:30" ht="15">
      <c r="AA2189"/>
      <c r="AB2189"/>
      <c r="AC2189"/>
      <c r="AD2189"/>
    </row>
    <row r="2190" spans="27:30" ht="15">
      <c r="AA2190"/>
      <c r="AB2190"/>
      <c r="AC2190"/>
      <c r="AD2190"/>
    </row>
    <row r="2191" spans="27:30" ht="15">
      <c r="AA2191"/>
      <c r="AB2191"/>
      <c r="AC2191"/>
      <c r="AD2191"/>
    </row>
    <row r="2192" spans="27:30" ht="15">
      <c r="AA2192"/>
      <c r="AB2192"/>
      <c r="AC2192"/>
      <c r="AD2192"/>
    </row>
    <row r="2193" spans="27:30" ht="15">
      <c r="AA2193"/>
      <c r="AB2193"/>
      <c r="AC2193"/>
      <c r="AD2193"/>
    </row>
    <row r="2194" spans="27:30" ht="15">
      <c r="AA2194"/>
      <c r="AB2194"/>
      <c r="AC2194"/>
      <c r="AD2194"/>
    </row>
    <row r="2195" spans="27:30" ht="15">
      <c r="AA2195"/>
      <c r="AB2195"/>
      <c r="AC2195"/>
      <c r="AD2195"/>
    </row>
    <row r="2196" spans="27:30" ht="15">
      <c r="AA2196"/>
      <c r="AB2196"/>
      <c r="AC2196"/>
      <c r="AD2196"/>
    </row>
    <row r="2197" spans="27:30" ht="15">
      <c r="AA2197"/>
      <c r="AB2197"/>
      <c r="AC2197"/>
      <c r="AD2197"/>
    </row>
    <row r="2198" spans="27:30" ht="15">
      <c r="AA2198"/>
      <c r="AB2198"/>
      <c r="AC2198"/>
      <c r="AD2198"/>
    </row>
    <row r="2199" spans="27:30" ht="15">
      <c r="AA2199"/>
      <c r="AB2199"/>
      <c r="AC2199"/>
      <c r="AD2199"/>
    </row>
    <row r="2200" spans="27:30" ht="15">
      <c r="AA2200"/>
      <c r="AB2200"/>
      <c r="AC2200"/>
      <c r="AD2200"/>
    </row>
    <row r="2201" spans="27:30" ht="15">
      <c r="AA2201"/>
      <c r="AB2201"/>
      <c r="AC2201"/>
      <c r="AD2201"/>
    </row>
    <row r="2202" spans="27:30" ht="15">
      <c r="AA2202"/>
      <c r="AB2202"/>
      <c r="AC2202"/>
      <c r="AD2202"/>
    </row>
    <row r="2203" spans="27:30" ht="15">
      <c r="AA2203"/>
      <c r="AB2203"/>
      <c r="AC2203"/>
      <c r="AD2203"/>
    </row>
    <row r="2204" spans="27:30" ht="15">
      <c r="AA2204"/>
      <c r="AB2204"/>
      <c r="AC2204"/>
      <c r="AD2204"/>
    </row>
    <row r="2205" spans="27:30" ht="15">
      <c r="AA2205"/>
      <c r="AB2205"/>
      <c r="AC2205"/>
      <c r="AD2205"/>
    </row>
    <row r="2206" spans="27:30" ht="15">
      <c r="AA2206"/>
      <c r="AB2206"/>
      <c r="AC2206"/>
      <c r="AD2206"/>
    </row>
    <row r="2207" spans="27:30" ht="15">
      <c r="AA2207"/>
      <c r="AB2207"/>
      <c r="AC2207"/>
      <c r="AD2207"/>
    </row>
    <row r="2208" spans="27:30" ht="15">
      <c r="AA2208"/>
      <c r="AB2208"/>
      <c r="AC2208"/>
      <c r="AD2208"/>
    </row>
    <row r="2209" spans="27:30" ht="15">
      <c r="AA2209"/>
      <c r="AB2209"/>
      <c r="AC2209"/>
      <c r="AD2209"/>
    </row>
    <row r="2210" spans="27:30" ht="15">
      <c r="AA2210"/>
      <c r="AB2210"/>
      <c r="AC2210"/>
      <c r="AD2210"/>
    </row>
    <row r="2211" spans="27:30" ht="15">
      <c r="AA2211"/>
      <c r="AB2211"/>
      <c r="AC2211"/>
      <c r="AD2211"/>
    </row>
    <row r="2212" spans="27:30" ht="15">
      <c r="AA2212"/>
      <c r="AB2212"/>
      <c r="AC2212"/>
      <c r="AD2212"/>
    </row>
    <row r="2213" spans="27:30" ht="15">
      <c r="AA2213"/>
      <c r="AB2213"/>
      <c r="AC2213"/>
      <c r="AD2213"/>
    </row>
    <row r="2214" spans="27:30" ht="15">
      <c r="AA2214"/>
      <c r="AB2214"/>
      <c r="AC2214"/>
      <c r="AD2214"/>
    </row>
    <row r="2215" spans="27:30" ht="15">
      <c r="AA2215"/>
      <c r="AB2215"/>
      <c r="AC2215"/>
      <c r="AD2215"/>
    </row>
    <row r="2216" spans="27:30" ht="15">
      <c r="AA2216"/>
      <c r="AB2216"/>
      <c r="AC2216"/>
      <c r="AD2216"/>
    </row>
    <row r="2217" spans="27:30" ht="15">
      <c r="AA2217"/>
      <c r="AB2217"/>
      <c r="AC2217"/>
      <c r="AD2217"/>
    </row>
    <row r="2218" spans="27:30" ht="15">
      <c r="AA2218"/>
      <c r="AB2218"/>
      <c r="AC2218"/>
      <c r="AD2218"/>
    </row>
    <row r="2219" spans="27:30" ht="15">
      <c r="AA2219"/>
      <c r="AB2219"/>
      <c r="AC2219"/>
      <c r="AD2219"/>
    </row>
    <row r="2220" spans="27:30" ht="15">
      <c r="AA2220"/>
      <c r="AB2220"/>
      <c r="AC2220"/>
      <c r="AD2220"/>
    </row>
    <row r="2221" spans="27:30" ht="15">
      <c r="AA2221"/>
      <c r="AB2221"/>
      <c r="AC2221"/>
      <c r="AD2221"/>
    </row>
    <row r="2222" spans="27:30" ht="15">
      <c r="AA2222"/>
      <c r="AB2222"/>
      <c r="AC2222"/>
      <c r="AD2222"/>
    </row>
    <row r="2223" spans="27:30" ht="15">
      <c r="AA2223"/>
      <c r="AB2223"/>
      <c r="AC2223"/>
      <c r="AD2223"/>
    </row>
    <row r="2224" spans="27:30" ht="15">
      <c r="AA2224"/>
      <c r="AB2224"/>
      <c r="AC2224"/>
      <c r="AD2224"/>
    </row>
    <row r="2225" spans="27:30" ht="15">
      <c r="AA2225"/>
      <c r="AB2225"/>
      <c r="AC2225"/>
      <c r="AD2225"/>
    </row>
    <row r="2226" spans="27:30" ht="15">
      <c r="AA2226"/>
      <c r="AB2226"/>
      <c r="AC2226"/>
      <c r="AD2226"/>
    </row>
    <row r="2227" spans="27:30" ht="15">
      <c r="AA2227"/>
      <c r="AB2227"/>
      <c r="AC2227"/>
      <c r="AD2227"/>
    </row>
    <row r="2228" spans="27:30" ht="15">
      <c r="AA2228"/>
      <c r="AB2228"/>
      <c r="AC2228"/>
      <c r="AD2228"/>
    </row>
    <row r="2229" spans="27:30" ht="15">
      <c r="AA2229"/>
      <c r="AB2229"/>
      <c r="AC2229"/>
      <c r="AD2229"/>
    </row>
    <row r="2230" spans="27:30" ht="15">
      <c r="AA2230"/>
      <c r="AB2230"/>
      <c r="AC2230"/>
      <c r="AD2230"/>
    </row>
    <row r="2231" spans="27:30" ht="15">
      <c r="AA2231"/>
      <c r="AB2231"/>
      <c r="AC2231"/>
      <c r="AD2231"/>
    </row>
    <row r="2232" spans="27:30" ht="15">
      <c r="AA2232"/>
      <c r="AB2232"/>
      <c r="AC2232"/>
      <c r="AD2232"/>
    </row>
    <row r="2233" spans="27:30" ht="15">
      <c r="AA2233"/>
      <c r="AB2233"/>
      <c r="AC2233"/>
      <c r="AD2233"/>
    </row>
    <row r="2234" spans="27:30" ht="15">
      <c r="AA2234"/>
      <c r="AB2234"/>
      <c r="AC2234"/>
      <c r="AD2234"/>
    </row>
    <row r="2235" spans="27:30" ht="15">
      <c r="AA2235"/>
      <c r="AB2235"/>
      <c r="AC2235"/>
      <c r="AD2235"/>
    </row>
    <row r="2236" spans="27:30" ht="15">
      <c r="AA2236"/>
      <c r="AB2236"/>
      <c r="AC2236"/>
      <c r="AD2236"/>
    </row>
    <row r="2237" spans="27:30" ht="15">
      <c r="AA2237"/>
      <c r="AB2237"/>
      <c r="AC2237"/>
      <c r="AD2237"/>
    </row>
    <row r="2238" spans="27:30" ht="15">
      <c r="AA2238"/>
      <c r="AB2238"/>
      <c r="AC2238"/>
      <c r="AD2238"/>
    </row>
    <row r="2239" spans="27:30" ht="15">
      <c r="AA2239"/>
      <c r="AB2239"/>
      <c r="AC2239"/>
      <c r="AD2239"/>
    </row>
    <row r="2240" spans="27:30" ht="15">
      <c r="AA2240"/>
      <c r="AB2240"/>
      <c r="AC2240"/>
      <c r="AD2240"/>
    </row>
    <row r="2241" spans="27:30" ht="15">
      <c r="AA2241"/>
      <c r="AB2241"/>
      <c r="AC2241"/>
      <c r="AD2241"/>
    </row>
    <row r="2242" spans="27:30" ht="15">
      <c r="AA2242"/>
      <c r="AB2242"/>
      <c r="AC2242"/>
      <c r="AD2242"/>
    </row>
    <row r="2243" spans="27:30" ht="15">
      <c r="AA2243"/>
      <c r="AB2243"/>
      <c r="AC2243"/>
      <c r="AD2243"/>
    </row>
    <row r="2244" spans="27:30" ht="15">
      <c r="AA2244"/>
      <c r="AB2244"/>
      <c r="AC2244"/>
      <c r="AD2244"/>
    </row>
    <row r="2245" spans="27:30" ht="15">
      <c r="AA2245"/>
      <c r="AB2245"/>
      <c r="AC2245"/>
      <c r="AD2245"/>
    </row>
    <row r="2246" spans="27:30" ht="15">
      <c r="AA2246"/>
      <c r="AB2246"/>
      <c r="AC2246"/>
      <c r="AD2246"/>
    </row>
    <row r="2247" spans="27:30" ht="15">
      <c r="AA2247"/>
      <c r="AB2247"/>
      <c r="AC2247"/>
      <c r="AD2247"/>
    </row>
    <row r="2248" spans="27:30" ht="15">
      <c r="AA2248"/>
      <c r="AB2248"/>
      <c r="AC2248"/>
      <c r="AD2248"/>
    </row>
    <row r="2249" spans="27:30" ht="15">
      <c r="AA2249"/>
      <c r="AB2249"/>
      <c r="AC2249"/>
      <c r="AD2249"/>
    </row>
    <row r="2250" spans="27:30" ht="15">
      <c r="AA2250"/>
      <c r="AB2250"/>
      <c r="AC2250"/>
      <c r="AD2250"/>
    </row>
    <row r="2251" spans="27:30" ht="15">
      <c r="AA2251"/>
      <c r="AB2251"/>
      <c r="AC2251"/>
      <c r="AD2251"/>
    </row>
    <row r="2252" spans="27:30" ht="15">
      <c r="AA2252"/>
      <c r="AB2252"/>
      <c r="AC2252"/>
      <c r="AD2252"/>
    </row>
    <row r="2253" spans="27:30" ht="15">
      <c r="AA2253"/>
      <c r="AB2253"/>
      <c r="AC2253"/>
      <c r="AD2253"/>
    </row>
    <row r="2254" spans="27:30" ht="15">
      <c r="AA2254"/>
      <c r="AB2254"/>
      <c r="AC2254"/>
      <c r="AD2254"/>
    </row>
    <row r="2255" spans="27:30" ht="15">
      <c r="AA2255"/>
      <c r="AB2255"/>
      <c r="AC2255"/>
      <c r="AD2255"/>
    </row>
    <row r="2256" spans="27:30" ht="15">
      <c r="AA2256"/>
      <c r="AB2256"/>
      <c r="AC2256"/>
      <c r="AD2256"/>
    </row>
    <row r="2257" spans="27:30" ht="15">
      <c r="AA2257"/>
      <c r="AB2257"/>
      <c r="AC2257"/>
      <c r="AD2257"/>
    </row>
    <row r="2258" spans="27:30" ht="15">
      <c r="AA2258"/>
      <c r="AB2258"/>
      <c r="AC2258"/>
      <c r="AD2258"/>
    </row>
    <row r="2259" spans="27:30" ht="15">
      <c r="AA2259"/>
      <c r="AB2259"/>
      <c r="AC2259"/>
      <c r="AD2259"/>
    </row>
    <row r="2260" spans="27:30" ht="15">
      <c r="AA2260"/>
      <c r="AB2260"/>
      <c r="AC2260"/>
      <c r="AD2260"/>
    </row>
    <row r="2261" spans="27:30" ht="15">
      <c r="AA2261"/>
      <c r="AB2261"/>
      <c r="AC2261"/>
      <c r="AD2261"/>
    </row>
    <row r="2262" spans="27:30" ht="15">
      <c r="AA2262"/>
      <c r="AB2262"/>
      <c r="AC2262"/>
      <c r="AD2262"/>
    </row>
    <row r="2263" spans="27:30" ht="15">
      <c r="AA2263"/>
      <c r="AB2263"/>
      <c r="AC2263"/>
      <c r="AD2263"/>
    </row>
    <row r="2264" spans="27:30" ht="15">
      <c r="AA2264"/>
      <c r="AB2264"/>
      <c r="AC2264"/>
      <c r="AD2264"/>
    </row>
    <row r="2265" spans="27:30" ht="15">
      <c r="AA2265"/>
      <c r="AB2265"/>
      <c r="AC2265"/>
      <c r="AD2265"/>
    </row>
    <row r="2266" spans="27:30" ht="15">
      <c r="AA2266"/>
      <c r="AB2266"/>
      <c r="AC2266"/>
      <c r="AD2266"/>
    </row>
    <row r="2267" spans="27:30" ht="15">
      <c r="AA2267"/>
      <c r="AB2267"/>
      <c r="AC2267"/>
      <c r="AD2267"/>
    </row>
    <row r="2268" spans="27:30" ht="15">
      <c r="AA2268"/>
      <c r="AB2268"/>
      <c r="AC2268"/>
      <c r="AD2268"/>
    </row>
    <row r="2269" spans="27:30" ht="15">
      <c r="AA2269"/>
      <c r="AB2269"/>
      <c r="AC2269"/>
      <c r="AD2269"/>
    </row>
    <row r="2270" spans="27:30" ht="15">
      <c r="AA2270"/>
      <c r="AB2270"/>
      <c r="AC2270"/>
      <c r="AD2270"/>
    </row>
    <row r="2271" spans="27:30" ht="15">
      <c r="AA2271"/>
      <c r="AB2271"/>
      <c r="AC2271"/>
      <c r="AD2271"/>
    </row>
    <row r="2272" spans="27:30" ht="15">
      <c r="AA2272"/>
      <c r="AB2272"/>
      <c r="AC2272"/>
      <c r="AD2272"/>
    </row>
    <row r="2273" spans="27:30" ht="15">
      <c r="AA2273"/>
      <c r="AB2273"/>
      <c r="AC2273"/>
      <c r="AD2273"/>
    </row>
    <row r="2274" spans="27:30" ht="15">
      <c r="AA2274"/>
      <c r="AB2274"/>
      <c r="AC2274"/>
      <c r="AD2274"/>
    </row>
    <row r="2275" spans="27:30" ht="15">
      <c r="AA2275"/>
      <c r="AB2275"/>
      <c r="AC2275"/>
      <c r="AD2275"/>
    </row>
    <row r="2276" spans="27:30" ht="15">
      <c r="AA2276"/>
      <c r="AB2276"/>
      <c r="AC2276"/>
      <c r="AD2276"/>
    </row>
    <row r="2277" spans="27:30" ht="15">
      <c r="AA2277"/>
      <c r="AB2277"/>
      <c r="AC2277"/>
      <c r="AD2277"/>
    </row>
    <row r="2278" spans="27:30" ht="15">
      <c r="AA2278"/>
      <c r="AB2278"/>
      <c r="AC2278"/>
      <c r="AD2278"/>
    </row>
    <row r="2279" spans="27:30" ht="15">
      <c r="AA2279"/>
      <c r="AB2279"/>
      <c r="AC2279"/>
      <c r="AD2279"/>
    </row>
    <row r="2280" spans="27:30" ht="15">
      <c r="AA2280"/>
      <c r="AB2280"/>
      <c r="AC2280"/>
      <c r="AD2280"/>
    </row>
    <row r="2281" spans="27:30" ht="15">
      <c r="AA2281"/>
      <c r="AB2281"/>
      <c r="AC2281"/>
      <c r="AD2281"/>
    </row>
    <row r="2282" spans="27:30" ht="15">
      <c r="AA2282"/>
      <c r="AB2282"/>
      <c r="AC2282"/>
      <c r="AD2282"/>
    </row>
    <row r="2283" spans="27:30" ht="15">
      <c r="AA2283"/>
      <c r="AB2283"/>
      <c r="AC2283"/>
      <c r="AD2283"/>
    </row>
    <row r="2284" spans="27:30" ht="15">
      <c r="AA2284"/>
      <c r="AB2284"/>
      <c r="AC2284"/>
      <c r="AD2284"/>
    </row>
    <row r="2285" spans="27:30" ht="15">
      <c r="AA2285"/>
      <c r="AB2285"/>
      <c r="AC2285"/>
      <c r="AD2285"/>
    </row>
    <row r="2286" spans="27:30" ht="15">
      <c r="AA2286"/>
      <c r="AB2286"/>
      <c r="AC2286"/>
      <c r="AD2286"/>
    </row>
    <row r="2287" spans="27:30" ht="15">
      <c r="AA2287"/>
      <c r="AB2287"/>
      <c r="AC2287"/>
      <c r="AD2287"/>
    </row>
    <row r="2288" spans="27:30" ht="15">
      <c r="AA2288"/>
      <c r="AB2288"/>
      <c r="AC2288"/>
      <c r="AD2288"/>
    </row>
    <row r="2289" spans="27:30" ht="15">
      <c r="AA2289"/>
      <c r="AB2289"/>
      <c r="AC2289"/>
      <c r="AD2289"/>
    </row>
    <row r="2290" spans="27:30" ht="15">
      <c r="AA2290"/>
      <c r="AB2290"/>
      <c r="AC2290"/>
      <c r="AD2290"/>
    </row>
    <row r="2291" spans="27:30" ht="15">
      <c r="AA2291"/>
      <c r="AB2291"/>
      <c r="AC2291"/>
      <c r="AD2291"/>
    </row>
    <row r="2292" spans="27:30" ht="15">
      <c r="AA2292"/>
      <c r="AB2292"/>
      <c r="AC2292"/>
      <c r="AD2292"/>
    </row>
    <row r="2293" spans="27:30" ht="15">
      <c r="AA2293"/>
      <c r="AB2293"/>
      <c r="AC2293"/>
      <c r="AD2293"/>
    </row>
    <row r="2294" spans="27:30" ht="15">
      <c r="AA2294"/>
      <c r="AB2294"/>
      <c r="AC2294"/>
      <c r="AD2294"/>
    </row>
    <row r="2295" spans="27:30" ht="15">
      <c r="AA2295"/>
      <c r="AB2295"/>
      <c r="AC2295"/>
      <c r="AD2295"/>
    </row>
    <row r="2296" spans="27:30" ht="15">
      <c r="AA2296"/>
      <c r="AB2296"/>
      <c r="AC2296"/>
      <c r="AD2296"/>
    </row>
    <row r="2297" spans="27:30" ht="15">
      <c r="AA2297"/>
      <c r="AB2297"/>
      <c r="AC2297"/>
      <c r="AD2297"/>
    </row>
    <row r="2298" spans="27:30" ht="15">
      <c r="AA2298"/>
      <c r="AB2298"/>
      <c r="AC2298"/>
      <c r="AD2298"/>
    </row>
    <row r="2299" spans="27:30" ht="15">
      <c r="AA2299"/>
      <c r="AB2299"/>
      <c r="AC2299"/>
      <c r="AD2299"/>
    </row>
    <row r="2300" spans="27:30" ht="15">
      <c r="AA2300"/>
      <c r="AB2300"/>
      <c r="AC2300"/>
      <c r="AD2300"/>
    </row>
    <row r="2301" spans="27:30" ht="15">
      <c r="AA2301"/>
      <c r="AB2301"/>
      <c r="AC2301"/>
      <c r="AD2301"/>
    </row>
    <row r="2302" spans="27:30" ht="15">
      <c r="AA2302"/>
      <c r="AB2302"/>
      <c r="AC2302"/>
      <c r="AD2302"/>
    </row>
    <row r="2303" spans="27:30" ht="15">
      <c r="AA2303"/>
      <c r="AB2303"/>
      <c r="AC2303"/>
      <c r="AD2303"/>
    </row>
    <row r="2304" spans="27:30" ht="15">
      <c r="AA2304"/>
      <c r="AB2304"/>
      <c r="AC2304"/>
      <c r="AD2304"/>
    </row>
    <row r="2305" spans="27:30" ht="15">
      <c r="AA2305"/>
      <c r="AB2305"/>
      <c r="AC2305"/>
      <c r="AD2305"/>
    </row>
    <row r="2306" spans="27:30" ht="15">
      <c r="AA2306"/>
      <c r="AB2306"/>
      <c r="AC2306"/>
      <c r="AD2306"/>
    </row>
    <row r="2307" spans="27:30" ht="15">
      <c r="AA2307"/>
      <c r="AB2307"/>
      <c r="AC2307"/>
      <c r="AD2307"/>
    </row>
    <row r="2308" spans="27:30" ht="15">
      <c r="AA2308"/>
      <c r="AB2308"/>
      <c r="AC2308"/>
      <c r="AD2308"/>
    </row>
    <row r="2309" spans="27:30" ht="15">
      <c r="AA2309"/>
      <c r="AB2309"/>
      <c r="AC2309"/>
      <c r="AD2309"/>
    </row>
    <row r="2310" spans="27:30" ht="15">
      <c r="AA2310"/>
      <c r="AB2310"/>
      <c r="AC2310"/>
      <c r="AD2310"/>
    </row>
    <row r="2311" spans="27:30" ht="15">
      <c r="AA2311"/>
      <c r="AB2311"/>
      <c r="AC2311"/>
      <c r="AD2311"/>
    </row>
    <row r="2312" spans="27:30" ht="15">
      <c r="AA2312"/>
      <c r="AB2312"/>
      <c r="AC2312"/>
      <c r="AD2312"/>
    </row>
    <row r="2313" spans="27:30" ht="15">
      <c r="AA2313"/>
      <c r="AB2313"/>
      <c r="AC2313"/>
      <c r="AD2313"/>
    </row>
    <row r="2314" spans="27:30" ht="15">
      <c r="AA2314"/>
      <c r="AB2314"/>
      <c r="AC2314"/>
      <c r="AD2314"/>
    </row>
    <row r="2315" spans="27:30" ht="15">
      <c r="AA2315"/>
      <c r="AB2315"/>
      <c r="AC2315"/>
      <c r="AD2315"/>
    </row>
    <row r="2316" spans="27:30" ht="15">
      <c r="AA2316"/>
      <c r="AB2316"/>
      <c r="AC2316"/>
      <c r="AD2316"/>
    </row>
    <row r="2317" spans="27:30" ht="15">
      <c r="AA2317"/>
      <c r="AB2317"/>
      <c r="AC2317"/>
      <c r="AD2317"/>
    </row>
    <row r="2318" spans="27:30" ht="15">
      <c r="AA2318"/>
      <c r="AB2318"/>
      <c r="AC2318"/>
      <c r="AD2318"/>
    </row>
    <row r="2319" spans="27:30" ht="15">
      <c r="AA2319"/>
      <c r="AB2319"/>
      <c r="AC2319"/>
      <c r="AD2319"/>
    </row>
    <row r="2320" spans="27:30" ht="15">
      <c r="AA2320"/>
      <c r="AB2320"/>
      <c r="AC2320"/>
      <c r="AD2320"/>
    </row>
    <row r="2321" spans="27:30" ht="15">
      <c r="AA2321"/>
      <c r="AB2321"/>
      <c r="AC2321"/>
      <c r="AD2321"/>
    </row>
    <row r="2322" spans="27:30" ht="15">
      <c r="AA2322"/>
      <c r="AB2322"/>
      <c r="AC2322"/>
      <c r="AD2322"/>
    </row>
    <row r="2323" spans="27:30" ht="15">
      <c r="AA2323"/>
      <c r="AB2323"/>
      <c r="AC2323"/>
      <c r="AD2323"/>
    </row>
    <row r="2324" spans="27:30" ht="15">
      <c r="AA2324"/>
      <c r="AB2324"/>
      <c r="AC2324"/>
      <c r="AD2324"/>
    </row>
    <row r="2325" spans="27:30" ht="15">
      <c r="AA2325"/>
      <c r="AB2325"/>
      <c r="AC2325"/>
      <c r="AD2325"/>
    </row>
    <row r="2326" spans="27:30" ht="15">
      <c r="AA2326"/>
      <c r="AB2326"/>
      <c r="AC2326"/>
      <c r="AD2326"/>
    </row>
    <row r="2327" spans="27:30" ht="15">
      <c r="AA2327"/>
      <c r="AB2327"/>
      <c r="AC2327"/>
      <c r="AD2327"/>
    </row>
    <row r="2328" spans="27:30" ht="15">
      <c r="AA2328"/>
      <c r="AB2328"/>
      <c r="AC2328"/>
      <c r="AD2328"/>
    </row>
    <row r="2329" spans="27:30" ht="15">
      <c r="AA2329"/>
      <c r="AB2329"/>
      <c r="AC2329"/>
      <c r="AD2329"/>
    </row>
    <row r="2330" spans="27:30" ht="15">
      <c r="AA2330"/>
      <c r="AB2330"/>
      <c r="AC2330"/>
      <c r="AD2330"/>
    </row>
    <row r="2331" spans="27:30" ht="15">
      <c r="AA2331"/>
      <c r="AB2331"/>
      <c r="AC2331"/>
      <c r="AD2331"/>
    </row>
    <row r="2332" spans="27:30" ht="15">
      <c r="AA2332"/>
      <c r="AB2332"/>
      <c r="AC2332"/>
      <c r="AD2332"/>
    </row>
    <row r="2333" spans="27:30" ht="15">
      <c r="AA2333"/>
      <c r="AB2333"/>
      <c r="AC2333"/>
      <c r="AD2333"/>
    </row>
    <row r="2334" spans="27:30" ht="15">
      <c r="AA2334"/>
      <c r="AB2334"/>
      <c r="AC2334"/>
      <c r="AD2334"/>
    </row>
    <row r="2335" spans="27:30" ht="15">
      <c r="AA2335"/>
      <c r="AB2335"/>
      <c r="AC2335"/>
      <c r="AD2335"/>
    </row>
    <row r="2336" spans="27:30" ht="15">
      <c r="AA2336"/>
      <c r="AB2336"/>
      <c r="AC2336"/>
      <c r="AD2336"/>
    </row>
    <row r="2337" spans="27:30" ht="15">
      <c r="AA2337"/>
      <c r="AB2337"/>
      <c r="AC2337"/>
      <c r="AD2337"/>
    </row>
    <row r="2338" spans="27:30" ht="15">
      <c r="AA2338"/>
      <c r="AB2338"/>
      <c r="AC2338"/>
      <c r="AD2338"/>
    </row>
    <row r="2339" spans="27:30" ht="15">
      <c r="AA2339"/>
      <c r="AB2339"/>
      <c r="AC2339"/>
      <c r="AD2339"/>
    </row>
    <row r="2340" spans="27:30" ht="15">
      <c r="AA2340"/>
      <c r="AB2340"/>
      <c r="AC2340"/>
      <c r="AD2340"/>
    </row>
    <row r="2341" spans="27:30" ht="15">
      <c r="AA2341"/>
      <c r="AB2341"/>
      <c r="AC2341"/>
      <c r="AD2341"/>
    </row>
    <row r="2342" spans="27:30" ht="15">
      <c r="AA2342"/>
      <c r="AB2342"/>
      <c r="AC2342"/>
      <c r="AD2342"/>
    </row>
    <row r="2343" spans="27:30" ht="15">
      <c r="AA2343"/>
      <c r="AB2343"/>
      <c r="AC2343"/>
      <c r="AD2343"/>
    </row>
    <row r="2344" spans="27:30" ht="15">
      <c r="AA2344"/>
      <c r="AB2344"/>
      <c r="AC2344"/>
      <c r="AD2344"/>
    </row>
    <row r="2345" spans="27:30" ht="15">
      <c r="AA2345"/>
      <c r="AB2345"/>
      <c r="AC2345"/>
      <c r="AD2345"/>
    </row>
    <row r="2346" spans="27:30" ht="15">
      <c r="AA2346"/>
      <c r="AB2346"/>
      <c r="AC2346"/>
      <c r="AD2346"/>
    </row>
    <row r="2347" spans="27:30" ht="15">
      <c r="AA2347"/>
      <c r="AB2347"/>
      <c r="AC2347"/>
      <c r="AD2347"/>
    </row>
    <row r="2348" spans="27:30" ht="15">
      <c r="AA2348"/>
      <c r="AB2348"/>
      <c r="AC2348"/>
      <c r="AD2348"/>
    </row>
    <row r="2349" spans="27:30" ht="15">
      <c r="AA2349"/>
      <c r="AB2349"/>
      <c r="AC2349"/>
      <c r="AD2349"/>
    </row>
    <row r="2350" spans="27:30" ht="15">
      <c r="AA2350"/>
      <c r="AB2350"/>
      <c r="AC2350"/>
      <c r="AD2350"/>
    </row>
    <row r="2351" spans="27:30" ht="15">
      <c r="AA2351"/>
      <c r="AB2351"/>
      <c r="AC2351"/>
      <c r="AD2351"/>
    </row>
    <row r="2352" spans="27:30" ht="15">
      <c r="AA2352"/>
      <c r="AB2352"/>
      <c r="AC2352"/>
      <c r="AD2352"/>
    </row>
    <row r="2353" spans="27:30" ht="15">
      <c r="AA2353"/>
      <c r="AB2353"/>
      <c r="AC2353"/>
      <c r="AD2353"/>
    </row>
    <row r="2354" spans="27:30" ht="15">
      <c r="AA2354"/>
      <c r="AB2354"/>
      <c r="AC2354"/>
      <c r="AD2354"/>
    </row>
    <row r="2355" spans="27:30" ht="15">
      <c r="AA2355"/>
      <c r="AB2355"/>
      <c r="AC2355"/>
      <c r="AD2355"/>
    </row>
    <row r="2356" spans="27:30" ht="15">
      <c r="AA2356"/>
      <c r="AB2356"/>
      <c r="AC2356"/>
      <c r="AD2356"/>
    </row>
    <row r="2357" spans="27:30" ht="15">
      <c r="AA2357"/>
      <c r="AB2357"/>
      <c r="AC2357"/>
      <c r="AD2357"/>
    </row>
    <row r="2358" spans="27:30" ht="15">
      <c r="AA2358"/>
      <c r="AB2358"/>
      <c r="AC2358"/>
      <c r="AD2358"/>
    </row>
    <row r="2359" spans="27:30" ht="15">
      <c r="AA2359"/>
      <c r="AB2359"/>
      <c r="AC2359"/>
      <c r="AD2359"/>
    </row>
    <row r="2360" spans="27:30" ht="15">
      <c r="AA2360"/>
      <c r="AB2360"/>
      <c r="AC2360"/>
      <c r="AD2360"/>
    </row>
    <row r="2361" spans="27:30" ht="15">
      <c r="AA2361"/>
      <c r="AB2361"/>
      <c r="AC2361"/>
      <c r="AD2361"/>
    </row>
    <row r="2362" spans="27:30" ht="15">
      <c r="AA2362"/>
      <c r="AB2362"/>
      <c r="AC2362"/>
      <c r="AD2362"/>
    </row>
    <row r="2363" spans="27:30" ht="15">
      <c r="AA2363"/>
      <c r="AB2363"/>
      <c r="AC2363"/>
      <c r="AD2363"/>
    </row>
    <row r="2364" spans="27:30" ht="15">
      <c r="AA2364"/>
      <c r="AB2364"/>
      <c r="AC2364"/>
      <c r="AD2364"/>
    </row>
    <row r="2365" spans="27:30" ht="15">
      <c r="AA2365"/>
      <c r="AB2365"/>
      <c r="AC2365"/>
      <c r="AD2365"/>
    </row>
    <row r="2366" spans="27:30" ht="15">
      <c r="AA2366"/>
      <c r="AB2366"/>
      <c r="AC2366"/>
      <c r="AD2366"/>
    </row>
    <row r="2367" spans="27:30" ht="15">
      <c r="AA2367"/>
      <c r="AB2367"/>
      <c r="AC2367"/>
      <c r="AD2367"/>
    </row>
    <row r="2368" spans="27:30" ht="15">
      <c r="AA2368"/>
      <c r="AB2368"/>
      <c r="AC2368"/>
      <c r="AD2368"/>
    </row>
    <row r="2369" spans="27:30" ht="15">
      <c r="AA2369"/>
      <c r="AB2369"/>
      <c r="AC2369"/>
      <c r="AD2369"/>
    </row>
    <row r="2370" spans="27:30" ht="15">
      <c r="AA2370"/>
      <c r="AB2370"/>
      <c r="AC2370"/>
      <c r="AD2370"/>
    </row>
    <row r="2371" spans="27:30" ht="15">
      <c r="AA2371"/>
      <c r="AB2371"/>
      <c r="AC2371"/>
      <c r="AD2371"/>
    </row>
    <row r="2372" spans="27:30" ht="15">
      <c r="AA2372"/>
      <c r="AB2372"/>
      <c r="AC2372"/>
      <c r="AD2372"/>
    </row>
    <row r="2373" spans="27:30" ht="15">
      <c r="AA2373"/>
      <c r="AB2373"/>
      <c r="AC2373"/>
      <c r="AD2373"/>
    </row>
    <row r="2374" spans="27:30" ht="15">
      <c r="AA2374"/>
      <c r="AB2374"/>
      <c r="AC2374"/>
      <c r="AD2374"/>
    </row>
    <row r="2375" spans="27:30" ht="15">
      <c r="AA2375"/>
      <c r="AB2375"/>
      <c r="AC2375"/>
      <c r="AD2375"/>
    </row>
    <row r="2376" spans="27:30" ht="15">
      <c r="AA2376"/>
      <c r="AB2376"/>
      <c r="AC2376"/>
      <c r="AD2376"/>
    </row>
    <row r="2377" spans="27:30" ht="15">
      <c r="AA2377"/>
      <c r="AB2377"/>
      <c r="AC2377"/>
      <c r="AD2377"/>
    </row>
    <row r="2378" spans="27:30" ht="15">
      <c r="AA2378"/>
      <c r="AB2378"/>
      <c r="AC2378"/>
      <c r="AD2378"/>
    </row>
    <row r="2379" spans="27:30" ht="15">
      <c r="AA2379"/>
      <c r="AB2379"/>
      <c r="AC2379"/>
      <c r="AD2379"/>
    </row>
    <row r="2380" spans="27:30" ht="15">
      <c r="AA2380"/>
      <c r="AB2380"/>
      <c r="AC2380"/>
      <c r="AD2380"/>
    </row>
    <row r="2381" spans="27:30" ht="15">
      <c r="AA2381"/>
      <c r="AB2381"/>
      <c r="AC2381"/>
      <c r="AD2381"/>
    </row>
    <row r="2382" spans="27:30" ht="15">
      <c r="AA2382"/>
      <c r="AB2382"/>
      <c r="AC2382"/>
      <c r="AD2382"/>
    </row>
    <row r="2383" spans="27:30" ht="15">
      <c r="AA2383"/>
      <c r="AB2383"/>
      <c r="AC2383"/>
      <c r="AD2383"/>
    </row>
    <row r="2384" spans="27:30" ht="15">
      <c r="AA2384"/>
      <c r="AB2384"/>
      <c r="AC2384"/>
      <c r="AD2384"/>
    </row>
    <row r="2385" spans="27:30" ht="15">
      <c r="AA2385"/>
      <c r="AB2385"/>
      <c r="AC2385"/>
      <c r="AD2385"/>
    </row>
    <row r="2386" spans="27:30" ht="15">
      <c r="AA2386"/>
      <c r="AB2386"/>
      <c r="AC2386"/>
      <c r="AD2386"/>
    </row>
    <row r="2387" spans="27:30" ht="15">
      <c r="AA2387"/>
      <c r="AB2387"/>
      <c r="AC2387"/>
      <c r="AD2387"/>
    </row>
    <row r="2388" spans="27:30" ht="15">
      <c r="AA2388"/>
      <c r="AB2388"/>
      <c r="AC2388"/>
      <c r="AD2388"/>
    </row>
    <row r="2389" spans="27:30" ht="15">
      <c r="AA2389"/>
      <c r="AB2389"/>
      <c r="AC2389"/>
      <c r="AD2389"/>
    </row>
    <row r="2390" spans="27:30" ht="15">
      <c r="AA2390"/>
      <c r="AB2390"/>
      <c r="AC2390"/>
      <c r="AD2390"/>
    </row>
    <row r="2391" spans="27:30" ht="15">
      <c r="AA2391"/>
      <c r="AB2391"/>
      <c r="AC2391"/>
      <c r="AD2391"/>
    </row>
    <row r="2392" spans="27:30" ht="15">
      <c r="AA2392"/>
      <c r="AB2392"/>
      <c r="AC2392"/>
      <c r="AD2392"/>
    </row>
    <row r="2393" spans="27:30" ht="15">
      <c r="AA2393"/>
      <c r="AB2393"/>
      <c r="AC2393"/>
      <c r="AD2393"/>
    </row>
    <row r="2394" spans="27:30" ht="15">
      <c r="AA2394"/>
      <c r="AB2394"/>
      <c r="AC2394"/>
      <c r="AD2394"/>
    </row>
    <row r="2395" spans="27:30" ht="15">
      <c r="AA2395"/>
      <c r="AB2395"/>
      <c r="AC2395"/>
      <c r="AD2395"/>
    </row>
    <row r="2396" spans="27:30" ht="15">
      <c r="AA2396"/>
      <c r="AB2396"/>
      <c r="AC2396"/>
      <c r="AD2396"/>
    </row>
    <row r="2397" spans="27:30" ht="15">
      <c r="AA2397"/>
      <c r="AB2397"/>
      <c r="AC2397"/>
      <c r="AD2397"/>
    </row>
    <row r="2398" spans="27:30" ht="15">
      <c r="AA2398"/>
      <c r="AB2398"/>
      <c r="AC2398"/>
      <c r="AD2398"/>
    </row>
    <row r="2399" spans="27:30" ht="15">
      <c r="AA2399"/>
      <c r="AB2399"/>
      <c r="AC2399"/>
      <c r="AD2399"/>
    </row>
    <row r="2400" spans="27:30" ht="15">
      <c r="AA2400"/>
      <c r="AB2400"/>
      <c r="AC2400"/>
      <c r="AD2400"/>
    </row>
    <row r="2401" spans="27:30" ht="15">
      <c r="AA2401"/>
      <c r="AB2401"/>
      <c r="AC2401"/>
      <c r="AD2401"/>
    </row>
    <row r="2402" spans="27:30" ht="15">
      <c r="AA2402"/>
      <c r="AB2402"/>
      <c r="AC2402"/>
      <c r="AD2402"/>
    </row>
    <row r="2403" spans="27:30" ht="15">
      <c r="AA2403"/>
      <c r="AB2403"/>
      <c r="AC2403"/>
      <c r="AD2403"/>
    </row>
    <row r="2404" spans="27:30" ht="15">
      <c r="AA2404"/>
      <c r="AB2404"/>
      <c r="AC2404"/>
      <c r="AD2404"/>
    </row>
    <row r="2405" spans="27:30" ht="15">
      <c r="AA2405"/>
      <c r="AB2405"/>
      <c r="AC2405"/>
      <c r="AD2405"/>
    </row>
    <row r="2406" spans="27:30" ht="15">
      <c r="AA2406"/>
      <c r="AB2406"/>
      <c r="AC2406"/>
      <c r="AD2406"/>
    </row>
    <row r="2407" spans="27:30" ht="15">
      <c r="AA2407"/>
      <c r="AB2407"/>
      <c r="AC2407"/>
      <c r="AD2407"/>
    </row>
    <row r="2408" spans="27:30" ht="15">
      <c r="AA2408"/>
      <c r="AB2408"/>
      <c r="AC2408"/>
      <c r="AD2408"/>
    </row>
    <row r="2409" spans="27:30" ht="15">
      <c r="AA2409"/>
      <c r="AB2409"/>
      <c r="AC2409"/>
      <c r="AD2409"/>
    </row>
    <row r="2410" spans="27:30" ht="15">
      <c r="AA2410"/>
      <c r="AB2410"/>
      <c r="AC2410"/>
      <c r="AD2410"/>
    </row>
    <row r="2411" spans="27:30" ht="15">
      <c r="AA2411"/>
      <c r="AB2411"/>
      <c r="AC2411"/>
      <c r="AD2411"/>
    </row>
    <row r="2412" spans="27:30" ht="15">
      <c r="AA2412"/>
      <c r="AB2412"/>
      <c r="AC2412"/>
      <c r="AD2412"/>
    </row>
    <row r="2413" spans="27:30" ht="15">
      <c r="AA2413"/>
      <c r="AB2413"/>
      <c r="AC2413"/>
      <c r="AD2413"/>
    </row>
    <row r="2414" spans="27:30" ht="15">
      <c r="AA2414"/>
      <c r="AB2414"/>
      <c r="AC2414"/>
      <c r="AD2414"/>
    </row>
    <row r="2415" spans="27:30" ht="15">
      <c r="AA2415"/>
      <c r="AB2415"/>
      <c r="AC2415"/>
      <c r="AD2415"/>
    </row>
    <row r="2416" spans="27:30" ht="15">
      <c r="AA2416"/>
      <c r="AB2416"/>
      <c r="AC2416"/>
      <c r="AD2416"/>
    </row>
    <row r="2417" spans="27:30" ht="15">
      <c r="AA2417"/>
      <c r="AB2417"/>
      <c r="AC2417"/>
      <c r="AD2417"/>
    </row>
    <row r="2418" spans="27:30" ht="15">
      <c r="AA2418"/>
      <c r="AB2418"/>
      <c r="AC2418"/>
      <c r="AD2418"/>
    </row>
    <row r="2419" spans="27:30" ht="15">
      <c r="AA2419"/>
      <c r="AB2419"/>
      <c r="AC2419"/>
      <c r="AD2419"/>
    </row>
    <row r="2420" spans="27:30" ht="15">
      <c r="AA2420"/>
      <c r="AB2420"/>
      <c r="AC2420"/>
      <c r="AD2420"/>
    </row>
    <row r="2421" spans="27:30" ht="15">
      <c r="AA2421"/>
      <c r="AB2421"/>
      <c r="AC2421"/>
      <c r="AD2421"/>
    </row>
    <row r="2422" spans="27:30" ht="15">
      <c r="AA2422"/>
      <c r="AB2422"/>
      <c r="AC2422"/>
      <c r="AD2422"/>
    </row>
    <row r="2423" spans="27:30" ht="15">
      <c r="AA2423"/>
      <c r="AB2423"/>
      <c r="AC2423"/>
      <c r="AD2423"/>
    </row>
    <row r="2424" spans="27:30" ht="15">
      <c r="AA2424"/>
      <c r="AB2424"/>
      <c r="AC2424"/>
      <c r="AD2424"/>
    </row>
    <row r="2425" spans="27:30" ht="15">
      <c r="AA2425"/>
      <c r="AB2425"/>
      <c r="AC2425"/>
      <c r="AD2425"/>
    </row>
    <row r="2426" spans="27:30" ht="15">
      <c r="AA2426"/>
      <c r="AB2426"/>
      <c r="AC2426"/>
      <c r="AD2426"/>
    </row>
    <row r="2427" spans="27:30" ht="15">
      <c r="AA2427"/>
      <c r="AB2427"/>
      <c r="AC2427"/>
      <c r="AD2427"/>
    </row>
    <row r="2428" spans="27:30" ht="15">
      <c r="AA2428"/>
      <c r="AB2428"/>
      <c r="AC2428"/>
      <c r="AD2428"/>
    </row>
    <row r="2429" spans="27:30" ht="15">
      <c r="AA2429"/>
      <c r="AB2429"/>
      <c r="AC2429"/>
      <c r="AD2429"/>
    </row>
    <row r="2430" spans="27:30" ht="15">
      <c r="AA2430"/>
      <c r="AB2430"/>
      <c r="AC2430"/>
      <c r="AD2430"/>
    </row>
    <row r="2431" spans="27:30" ht="15">
      <c r="AA2431"/>
      <c r="AB2431"/>
      <c r="AC2431"/>
      <c r="AD2431"/>
    </row>
    <row r="2432" spans="27:30" ht="15">
      <c r="AA2432"/>
      <c r="AB2432"/>
      <c r="AC2432"/>
      <c r="AD2432"/>
    </row>
    <row r="2433" spans="27:30" ht="15">
      <c r="AA2433"/>
      <c r="AB2433"/>
      <c r="AC2433"/>
      <c r="AD2433"/>
    </row>
    <row r="2434" spans="27:30" ht="15">
      <c r="AA2434"/>
      <c r="AB2434"/>
      <c r="AC2434"/>
      <c r="AD2434"/>
    </row>
    <row r="2435" spans="27:30" ht="15">
      <c r="AA2435"/>
      <c r="AB2435"/>
      <c r="AC2435"/>
      <c r="AD2435"/>
    </row>
    <row r="2436" spans="27:30" ht="15">
      <c r="AA2436"/>
      <c r="AB2436"/>
      <c r="AC2436"/>
      <c r="AD2436"/>
    </row>
    <row r="2437" spans="27:30" ht="15">
      <c r="AA2437"/>
      <c r="AB2437"/>
      <c r="AC2437"/>
      <c r="AD2437"/>
    </row>
    <row r="2438" spans="27:30" ht="15">
      <c r="AA2438"/>
      <c r="AB2438"/>
      <c r="AC2438"/>
      <c r="AD2438"/>
    </row>
    <row r="2439" spans="27:30" ht="15">
      <c r="AA2439"/>
      <c r="AB2439"/>
      <c r="AC2439"/>
      <c r="AD2439"/>
    </row>
    <row r="2440" spans="27:30" ht="15">
      <c r="AA2440"/>
      <c r="AB2440"/>
      <c r="AC2440"/>
      <c r="AD2440"/>
    </row>
    <row r="2441" spans="27:30" ht="15">
      <c r="AA2441"/>
      <c r="AB2441"/>
      <c r="AC2441"/>
      <c r="AD2441"/>
    </row>
    <row r="2442" spans="27:30" ht="15">
      <c r="AA2442"/>
      <c r="AB2442"/>
      <c r="AC2442"/>
      <c r="AD2442"/>
    </row>
    <row r="2443" spans="27:30" ht="15">
      <c r="AA2443"/>
      <c r="AB2443"/>
      <c r="AC2443"/>
      <c r="AD2443"/>
    </row>
    <row r="2444" spans="27:30" ht="15">
      <c r="AA2444"/>
      <c r="AB2444"/>
      <c r="AC2444"/>
      <c r="AD2444"/>
    </row>
    <row r="2445" spans="27:30" ht="15">
      <c r="AA2445"/>
      <c r="AB2445"/>
      <c r="AC2445"/>
      <c r="AD2445"/>
    </row>
    <row r="2446" spans="27:30" ht="15">
      <c r="AA2446"/>
      <c r="AB2446"/>
      <c r="AC2446"/>
      <c r="AD2446"/>
    </row>
    <row r="2447" spans="27:30" ht="15">
      <c r="AA2447"/>
      <c r="AB2447"/>
      <c r="AC2447"/>
      <c r="AD2447"/>
    </row>
    <row r="2448" spans="27:30" ht="15">
      <c r="AA2448"/>
      <c r="AB2448"/>
      <c r="AC2448"/>
      <c r="AD2448"/>
    </row>
    <row r="2449" spans="27:30" ht="15">
      <c r="AA2449"/>
      <c r="AB2449"/>
      <c r="AC2449"/>
      <c r="AD2449"/>
    </row>
    <row r="2450" spans="27:30" ht="15">
      <c r="AA2450"/>
      <c r="AB2450"/>
      <c r="AC2450"/>
      <c r="AD2450"/>
    </row>
    <row r="2451" spans="27:30" ht="15">
      <c r="AA2451"/>
      <c r="AB2451"/>
      <c r="AC2451"/>
      <c r="AD2451"/>
    </row>
    <row r="2452" spans="27:30" ht="15">
      <c r="AA2452"/>
      <c r="AB2452"/>
      <c r="AC2452"/>
      <c r="AD2452"/>
    </row>
    <row r="2453" spans="27:30" ht="15">
      <c r="AA2453"/>
      <c r="AB2453"/>
      <c r="AC2453"/>
      <c r="AD2453"/>
    </row>
    <row r="2454" spans="27:30" ht="15">
      <c r="AA2454"/>
      <c r="AB2454"/>
      <c r="AC2454"/>
      <c r="AD2454"/>
    </row>
    <row r="2455" spans="27:30" ht="15">
      <c r="AA2455"/>
      <c r="AB2455"/>
      <c r="AC2455"/>
      <c r="AD2455"/>
    </row>
    <row r="2456" spans="27:30" ht="15">
      <c r="AA2456"/>
      <c r="AB2456"/>
      <c r="AC2456"/>
      <c r="AD2456"/>
    </row>
    <row r="2457" spans="27:30" ht="15">
      <c r="AA2457"/>
      <c r="AB2457"/>
      <c r="AC2457"/>
      <c r="AD2457"/>
    </row>
    <row r="2458" spans="27:30" ht="15">
      <c r="AA2458"/>
      <c r="AB2458"/>
      <c r="AC2458"/>
      <c r="AD2458"/>
    </row>
    <row r="2459" spans="27:30" ht="15">
      <c r="AA2459"/>
      <c r="AB2459"/>
      <c r="AC2459"/>
      <c r="AD2459"/>
    </row>
    <row r="2460" spans="27:30" ht="15">
      <c r="AA2460"/>
      <c r="AB2460"/>
      <c r="AC2460"/>
      <c r="AD2460"/>
    </row>
    <row r="2461" spans="27:30" ht="15">
      <c r="AA2461"/>
      <c r="AB2461"/>
      <c r="AC2461"/>
      <c r="AD2461"/>
    </row>
    <row r="2462" spans="27:30" ht="15">
      <c r="AA2462"/>
      <c r="AB2462"/>
      <c r="AC2462"/>
      <c r="AD2462"/>
    </row>
    <row r="2463" spans="27:30" ht="15">
      <c r="AA2463"/>
      <c r="AB2463"/>
      <c r="AC2463"/>
      <c r="AD2463"/>
    </row>
    <row r="2464" spans="27:30" ht="15">
      <c r="AA2464"/>
      <c r="AB2464"/>
      <c r="AC2464"/>
      <c r="AD2464"/>
    </row>
    <row r="2465" spans="27:30" ht="15">
      <c r="AA2465"/>
      <c r="AB2465"/>
      <c r="AC2465"/>
      <c r="AD2465"/>
    </row>
    <row r="2466" spans="27:30" ht="15">
      <c r="AA2466"/>
      <c r="AB2466"/>
      <c r="AC2466"/>
      <c r="AD2466"/>
    </row>
    <row r="2467" spans="27:30" ht="15">
      <c r="AA2467"/>
      <c r="AB2467"/>
      <c r="AC2467"/>
      <c r="AD2467"/>
    </row>
    <row r="2468" spans="27:30" ht="15">
      <c r="AA2468"/>
      <c r="AB2468"/>
      <c r="AC2468"/>
      <c r="AD2468"/>
    </row>
    <row r="2469" spans="27:30" ht="15">
      <c r="AA2469"/>
      <c r="AB2469"/>
      <c r="AC2469"/>
      <c r="AD2469"/>
    </row>
    <row r="2470" spans="27:30" ht="15">
      <c r="AA2470"/>
      <c r="AB2470"/>
      <c r="AC2470"/>
      <c r="AD2470"/>
    </row>
    <row r="2471" spans="27:30" ht="15">
      <c r="AA2471"/>
      <c r="AB2471"/>
      <c r="AC2471"/>
      <c r="AD2471"/>
    </row>
    <row r="2472" spans="27:30" ht="15">
      <c r="AA2472"/>
      <c r="AB2472"/>
      <c r="AC2472"/>
      <c r="AD2472"/>
    </row>
    <row r="2473" spans="27:30" ht="15">
      <c r="AA2473"/>
      <c r="AB2473"/>
      <c r="AC2473"/>
      <c r="AD2473"/>
    </row>
    <row r="2474" spans="27:30" ht="15">
      <c r="AA2474"/>
      <c r="AB2474"/>
      <c r="AC2474"/>
      <c r="AD2474"/>
    </row>
    <row r="2475" spans="27:30" ht="15">
      <c r="AA2475"/>
      <c r="AB2475"/>
      <c r="AC2475"/>
      <c r="AD2475"/>
    </row>
    <row r="2476" spans="27:30" ht="15">
      <c r="AA2476"/>
      <c r="AB2476"/>
      <c r="AC2476"/>
      <c r="AD2476"/>
    </row>
    <row r="2477" spans="27:30" ht="15">
      <c r="AA2477"/>
      <c r="AB2477"/>
      <c r="AC2477"/>
      <c r="AD2477"/>
    </row>
    <row r="2478" spans="27:30" ht="15">
      <c r="AA2478"/>
      <c r="AB2478"/>
      <c r="AC2478"/>
      <c r="AD2478"/>
    </row>
    <row r="2479" spans="27:30" ht="15">
      <c r="AA2479"/>
      <c r="AB2479"/>
      <c r="AC2479"/>
      <c r="AD2479"/>
    </row>
    <row r="2480" spans="27:30" ht="15">
      <c r="AA2480"/>
      <c r="AB2480"/>
      <c r="AC2480"/>
      <c r="AD2480"/>
    </row>
    <row r="2481" spans="27:30" ht="15">
      <c r="AA2481"/>
      <c r="AB2481"/>
      <c r="AC2481"/>
      <c r="AD2481"/>
    </row>
    <row r="2482" spans="27:30" ht="15">
      <c r="AA2482"/>
      <c r="AB2482"/>
      <c r="AC2482"/>
      <c r="AD2482"/>
    </row>
    <row r="2483" spans="27:30" ht="15">
      <c r="AA2483"/>
      <c r="AB2483"/>
      <c r="AC2483"/>
      <c r="AD2483"/>
    </row>
    <row r="2484" spans="27:30" ht="15">
      <c r="AA2484"/>
      <c r="AB2484"/>
      <c r="AC2484"/>
      <c r="AD2484"/>
    </row>
    <row r="2485" spans="27:30" ht="15">
      <c r="AA2485"/>
      <c r="AB2485"/>
      <c r="AC2485"/>
      <c r="AD2485"/>
    </row>
    <row r="2486" spans="27:30" ht="15">
      <c r="AA2486"/>
      <c r="AB2486"/>
      <c r="AC2486"/>
      <c r="AD2486"/>
    </row>
    <row r="2487" spans="27:30" ht="15">
      <c r="AA2487"/>
      <c r="AB2487"/>
      <c r="AC2487"/>
      <c r="AD2487"/>
    </row>
    <row r="2488" spans="27:30" ht="15">
      <c r="AA2488"/>
      <c r="AB2488"/>
      <c r="AC2488"/>
      <c r="AD2488"/>
    </row>
    <row r="2489" spans="27:30" ht="15">
      <c r="AA2489"/>
      <c r="AB2489"/>
      <c r="AC2489"/>
      <c r="AD2489"/>
    </row>
    <row r="2490" spans="27:30" ht="15">
      <c r="AA2490"/>
      <c r="AB2490"/>
      <c r="AC2490"/>
      <c r="AD2490"/>
    </row>
    <row r="2491" spans="27:30" ht="15">
      <c r="AA2491"/>
      <c r="AB2491"/>
      <c r="AC2491"/>
      <c r="AD2491"/>
    </row>
    <row r="2492" spans="27:30" ht="15">
      <c r="AA2492"/>
      <c r="AB2492"/>
      <c r="AC2492"/>
      <c r="AD2492"/>
    </row>
    <row r="2493" spans="27:30" ht="15">
      <c r="AA2493"/>
      <c r="AB2493"/>
      <c r="AC2493"/>
      <c r="AD2493"/>
    </row>
    <row r="2494" spans="27:30" ht="15">
      <c r="AA2494"/>
      <c r="AB2494"/>
      <c r="AC2494"/>
      <c r="AD2494"/>
    </row>
    <row r="2495" spans="27:30" ht="15">
      <c r="AA2495"/>
      <c r="AB2495"/>
      <c r="AC2495"/>
      <c r="AD2495"/>
    </row>
    <row r="2496" spans="27:30" ht="15">
      <c r="AA2496"/>
      <c r="AB2496"/>
      <c r="AC2496"/>
      <c r="AD2496"/>
    </row>
    <row r="2497" spans="27:30" ht="15">
      <c r="AA2497"/>
      <c r="AB2497"/>
      <c r="AC2497"/>
      <c r="AD2497"/>
    </row>
    <row r="2498" spans="27:30" ht="15">
      <c r="AA2498"/>
      <c r="AB2498"/>
      <c r="AC2498"/>
      <c r="AD2498"/>
    </row>
    <row r="2499" spans="27:30" ht="15">
      <c r="AA2499"/>
      <c r="AB2499"/>
      <c r="AC2499"/>
      <c r="AD2499"/>
    </row>
    <row r="2500" spans="27:30" ht="15">
      <c r="AA2500"/>
      <c r="AB2500"/>
      <c r="AC2500"/>
      <c r="AD2500"/>
    </row>
    <row r="2501" spans="27:30" ht="15">
      <c r="AA2501"/>
      <c r="AB2501"/>
      <c r="AC2501"/>
      <c r="AD2501"/>
    </row>
    <row r="2502" spans="27:30" ht="15">
      <c r="AA2502"/>
      <c r="AB2502"/>
      <c r="AC2502"/>
      <c r="AD2502"/>
    </row>
    <row r="2503" spans="27:30" ht="15">
      <c r="AA2503"/>
      <c r="AB2503"/>
      <c r="AC2503"/>
      <c r="AD2503"/>
    </row>
    <row r="2504" spans="27:30" ht="15">
      <c r="AA2504"/>
      <c r="AB2504"/>
      <c r="AC2504"/>
      <c r="AD2504"/>
    </row>
    <row r="2505" spans="27:30" ht="15">
      <c r="AA2505"/>
      <c r="AB2505"/>
      <c r="AC2505"/>
      <c r="AD2505"/>
    </row>
    <row r="2506" spans="27:30" ht="15">
      <c r="AA2506"/>
      <c r="AB2506"/>
      <c r="AC2506"/>
      <c r="AD2506"/>
    </row>
    <row r="2507" spans="27:30" ht="15">
      <c r="AA2507"/>
      <c r="AB2507"/>
      <c r="AC2507"/>
      <c r="AD2507"/>
    </row>
    <row r="2508" spans="27:30" ht="15">
      <c r="AA2508"/>
      <c r="AB2508"/>
      <c r="AC2508"/>
      <c r="AD2508"/>
    </row>
    <row r="2509" spans="27:30" ht="15">
      <c r="AA2509"/>
      <c r="AB2509"/>
      <c r="AC2509"/>
      <c r="AD2509"/>
    </row>
    <row r="2510" spans="27:30" ht="15">
      <c r="AA2510"/>
      <c r="AB2510"/>
      <c r="AC2510"/>
      <c r="AD2510"/>
    </row>
    <row r="2511" spans="27:30" ht="15">
      <c r="AA2511"/>
      <c r="AB2511"/>
      <c r="AC2511"/>
      <c r="AD2511"/>
    </row>
    <row r="2512" spans="27:30" ht="15">
      <c r="AA2512"/>
      <c r="AB2512"/>
      <c r="AC2512"/>
      <c r="AD2512"/>
    </row>
    <row r="2513" spans="27:30" ht="15">
      <c r="AA2513"/>
      <c r="AB2513"/>
      <c r="AC2513"/>
      <c r="AD2513"/>
    </row>
    <row r="2514" spans="27:30" ht="15">
      <c r="AA2514"/>
      <c r="AB2514"/>
      <c r="AC2514"/>
      <c r="AD2514"/>
    </row>
    <row r="2515" spans="27:30" ht="15">
      <c r="AA2515"/>
      <c r="AB2515"/>
      <c r="AC2515"/>
      <c r="AD2515"/>
    </row>
    <row r="2516" spans="27:30" ht="15">
      <c r="AA2516"/>
      <c r="AB2516"/>
      <c r="AC2516"/>
      <c r="AD2516"/>
    </row>
    <row r="2517" spans="27:30" ht="15">
      <c r="AA2517"/>
      <c r="AB2517"/>
      <c r="AC2517"/>
      <c r="AD2517"/>
    </row>
    <row r="2518" spans="27:30" ht="15">
      <c r="AA2518"/>
      <c r="AB2518"/>
      <c r="AC2518"/>
      <c r="AD2518"/>
    </row>
    <row r="2519" spans="27:30" ht="15">
      <c r="AA2519"/>
      <c r="AB2519"/>
      <c r="AC2519"/>
      <c r="AD2519"/>
    </row>
    <row r="2520" spans="27:30" ht="15">
      <c r="AA2520"/>
      <c r="AB2520"/>
      <c r="AC2520"/>
      <c r="AD2520"/>
    </row>
    <row r="2521" spans="27:30" ht="15">
      <c r="AA2521"/>
      <c r="AB2521"/>
      <c r="AC2521"/>
      <c r="AD2521"/>
    </row>
    <row r="2522" spans="27:30" ht="15">
      <c r="AA2522"/>
      <c r="AB2522"/>
      <c r="AC2522"/>
      <c r="AD2522"/>
    </row>
    <row r="2523" spans="27:30" ht="15">
      <c r="AA2523"/>
      <c r="AB2523"/>
      <c r="AC2523"/>
      <c r="AD2523"/>
    </row>
    <row r="2524" spans="27:30" ht="15">
      <c r="AA2524"/>
      <c r="AB2524"/>
      <c r="AC2524"/>
      <c r="AD2524"/>
    </row>
    <row r="2525" spans="27:30" ht="15">
      <c r="AA2525"/>
      <c r="AB2525"/>
      <c r="AC2525"/>
      <c r="AD2525"/>
    </row>
    <row r="2526" spans="27:30" ht="15">
      <c r="AA2526"/>
      <c r="AB2526"/>
      <c r="AC2526"/>
      <c r="AD2526"/>
    </row>
    <row r="2527" spans="27:30" ht="15">
      <c r="AA2527"/>
      <c r="AB2527"/>
      <c r="AC2527"/>
      <c r="AD2527"/>
    </row>
    <row r="2528" spans="27:30" ht="15">
      <c r="AA2528"/>
      <c r="AB2528"/>
      <c r="AC2528"/>
      <c r="AD2528"/>
    </row>
    <row r="2529" spans="27:30" ht="15">
      <c r="AA2529"/>
      <c r="AB2529"/>
      <c r="AC2529"/>
      <c r="AD2529"/>
    </row>
    <row r="2530" spans="27:30" ht="15">
      <c r="AA2530"/>
      <c r="AB2530"/>
      <c r="AC2530"/>
      <c r="AD2530"/>
    </row>
    <row r="2531" spans="27:30" ht="15">
      <c r="AA2531"/>
      <c r="AB2531"/>
      <c r="AC2531"/>
      <c r="AD2531"/>
    </row>
    <row r="2532" spans="27:30" ht="15">
      <c r="AA2532"/>
      <c r="AB2532"/>
      <c r="AC2532"/>
      <c r="AD2532"/>
    </row>
    <row r="2533" spans="27:30" ht="15">
      <c r="AA2533"/>
      <c r="AB2533"/>
      <c r="AC2533"/>
      <c r="AD2533"/>
    </row>
    <row r="2534" spans="27:30" ht="15">
      <c r="AA2534"/>
      <c r="AB2534"/>
      <c r="AC2534"/>
      <c r="AD2534"/>
    </row>
    <row r="2535" spans="27:30" ht="15">
      <c r="AA2535"/>
      <c r="AB2535"/>
      <c r="AC2535"/>
      <c r="AD2535"/>
    </row>
    <row r="2536" spans="27:30" ht="15">
      <c r="AA2536"/>
      <c r="AB2536"/>
      <c r="AC2536"/>
      <c r="AD2536"/>
    </row>
    <row r="2537" spans="27:30" ht="15">
      <c r="AA2537"/>
      <c r="AB2537"/>
      <c r="AC2537"/>
      <c r="AD2537"/>
    </row>
    <row r="2538" spans="27:30" ht="15">
      <c r="AA2538"/>
      <c r="AB2538"/>
      <c r="AC2538"/>
      <c r="AD2538"/>
    </row>
    <row r="2539" spans="27:30" ht="15">
      <c r="AA2539"/>
      <c r="AB2539"/>
      <c r="AC2539"/>
      <c r="AD2539"/>
    </row>
    <row r="2540" spans="27:30" ht="15">
      <c r="AA2540"/>
      <c r="AB2540"/>
      <c r="AC2540"/>
      <c r="AD2540"/>
    </row>
    <row r="2541" spans="27:30" ht="15">
      <c r="AA2541"/>
      <c r="AB2541"/>
      <c r="AC2541"/>
      <c r="AD2541"/>
    </row>
    <row r="2542" spans="27:30" ht="15">
      <c r="AA2542"/>
      <c r="AB2542"/>
      <c r="AC2542"/>
      <c r="AD2542"/>
    </row>
    <row r="2543" spans="27:30" ht="15">
      <c r="AA2543"/>
      <c r="AB2543"/>
      <c r="AC2543"/>
      <c r="AD2543"/>
    </row>
    <row r="2544" spans="27:30" ht="15">
      <c r="AA2544"/>
      <c r="AB2544"/>
      <c r="AC2544"/>
      <c r="AD2544"/>
    </row>
    <row r="2545" spans="27:30" ht="15">
      <c r="AA2545"/>
      <c r="AB2545"/>
      <c r="AC2545"/>
      <c r="AD2545"/>
    </row>
    <row r="2546" spans="27:30" ht="15">
      <c r="AA2546"/>
      <c r="AB2546"/>
      <c r="AC2546"/>
      <c r="AD2546"/>
    </row>
    <row r="2547" spans="27:30" ht="15">
      <c r="AA2547"/>
      <c r="AB2547"/>
      <c r="AC2547"/>
      <c r="AD2547"/>
    </row>
    <row r="2548" spans="27:30" ht="15">
      <c r="AA2548"/>
      <c r="AB2548"/>
      <c r="AC2548"/>
      <c r="AD2548"/>
    </row>
    <row r="2549" spans="27:30" ht="15">
      <c r="AA2549"/>
      <c r="AB2549"/>
      <c r="AC2549"/>
      <c r="AD2549"/>
    </row>
    <row r="2550" spans="27:30" ht="15">
      <c r="AA2550"/>
      <c r="AB2550"/>
      <c r="AC2550"/>
      <c r="AD2550"/>
    </row>
    <row r="2551" spans="27:30" ht="15">
      <c r="AA2551"/>
      <c r="AB2551"/>
      <c r="AC2551"/>
      <c r="AD2551"/>
    </row>
    <row r="2552" spans="27:30" ht="15">
      <c r="AA2552"/>
      <c r="AB2552"/>
      <c r="AC2552"/>
      <c r="AD2552"/>
    </row>
    <row r="2553" spans="27:30" ht="15">
      <c r="AA2553"/>
      <c r="AB2553"/>
      <c r="AC2553"/>
      <c r="AD2553"/>
    </row>
    <row r="2554" spans="27:30" ht="15">
      <c r="AA2554"/>
      <c r="AB2554"/>
      <c r="AC2554"/>
      <c r="AD2554"/>
    </row>
    <row r="2555" spans="27:30" ht="15">
      <c r="AA2555"/>
      <c r="AB2555"/>
      <c r="AC2555"/>
      <c r="AD2555"/>
    </row>
    <row r="2556" spans="27:30" ht="15">
      <c r="AA2556"/>
      <c r="AB2556"/>
      <c r="AC2556"/>
      <c r="AD2556"/>
    </row>
    <row r="2557" spans="27:30" ht="15">
      <c r="AA2557"/>
      <c r="AB2557"/>
      <c r="AC2557"/>
      <c r="AD2557"/>
    </row>
    <row r="2558" spans="27:30" ht="15">
      <c r="AA2558"/>
      <c r="AB2558"/>
      <c r="AC2558"/>
      <c r="AD2558"/>
    </row>
    <row r="2559" spans="27:30" ht="15">
      <c r="AA2559"/>
      <c r="AB2559"/>
      <c r="AC2559"/>
      <c r="AD2559"/>
    </row>
    <row r="2560" spans="27:30" ht="15">
      <c r="AA2560"/>
      <c r="AB2560"/>
      <c r="AC2560"/>
      <c r="AD2560"/>
    </row>
    <row r="2561" spans="27:30" ht="15">
      <c r="AA2561"/>
      <c r="AB2561"/>
      <c r="AC2561"/>
      <c r="AD2561"/>
    </row>
    <row r="2562" spans="27:30" ht="15">
      <c r="AA2562"/>
      <c r="AB2562"/>
      <c r="AC2562"/>
      <c r="AD2562"/>
    </row>
    <row r="2563" spans="27:30" ht="15">
      <c r="AA2563"/>
      <c r="AB2563"/>
      <c r="AC2563"/>
      <c r="AD2563"/>
    </row>
    <row r="2564" spans="27:30" ht="15">
      <c r="AA2564"/>
      <c r="AB2564"/>
      <c r="AC2564"/>
      <c r="AD2564"/>
    </row>
    <row r="2565" spans="27:30" ht="15">
      <c r="AA2565"/>
      <c r="AB2565"/>
      <c r="AC2565"/>
      <c r="AD2565"/>
    </row>
    <row r="2566" spans="27:30" ht="15">
      <c r="AA2566"/>
      <c r="AB2566"/>
      <c r="AC2566"/>
      <c r="AD2566"/>
    </row>
    <row r="2567" spans="27:30" ht="15">
      <c r="AA2567"/>
      <c r="AB2567"/>
      <c r="AC2567"/>
      <c r="AD2567"/>
    </row>
    <row r="2568" spans="27:30" ht="15">
      <c r="AA2568"/>
      <c r="AB2568"/>
      <c r="AC2568"/>
      <c r="AD2568"/>
    </row>
    <row r="2569" spans="27:30" ht="15">
      <c r="AA2569"/>
      <c r="AB2569"/>
      <c r="AC2569"/>
      <c r="AD2569"/>
    </row>
    <row r="2570" spans="27:30" ht="15">
      <c r="AA2570"/>
      <c r="AB2570"/>
      <c r="AC2570"/>
      <c r="AD2570"/>
    </row>
    <row r="2571" spans="27:30" ht="15">
      <c r="AA2571"/>
      <c r="AB2571"/>
      <c r="AC2571"/>
      <c r="AD2571"/>
    </row>
    <row r="2572" spans="27:30" ht="15">
      <c r="AA2572"/>
      <c r="AB2572"/>
      <c r="AC2572"/>
      <c r="AD2572"/>
    </row>
    <row r="2573" spans="27:30" ht="15">
      <c r="AA2573"/>
      <c r="AB2573"/>
      <c r="AC2573"/>
      <c r="AD2573"/>
    </row>
    <row r="2574" spans="27:30" ht="15">
      <c r="AA2574"/>
      <c r="AB2574"/>
      <c r="AC2574"/>
      <c r="AD2574"/>
    </row>
    <row r="2575" spans="27:30" ht="15">
      <c r="AA2575"/>
      <c r="AB2575"/>
      <c r="AC2575"/>
      <c r="AD2575"/>
    </row>
    <row r="2576" spans="27:30" ht="15">
      <c r="AA2576"/>
      <c r="AB2576"/>
      <c r="AC2576"/>
      <c r="AD2576"/>
    </row>
    <row r="2577" spans="27:30" ht="15">
      <c r="AA2577"/>
      <c r="AB2577"/>
      <c r="AC2577"/>
      <c r="AD2577"/>
    </row>
    <row r="2578" spans="27:30" ht="15">
      <c r="AA2578"/>
      <c r="AB2578"/>
      <c r="AC2578"/>
      <c r="AD2578"/>
    </row>
    <row r="2579" spans="27:30" ht="15">
      <c r="AA2579"/>
      <c r="AB2579"/>
      <c r="AC2579"/>
      <c r="AD2579"/>
    </row>
    <row r="2580" spans="27:30" ht="15">
      <c r="AA2580"/>
      <c r="AB2580"/>
      <c r="AC2580"/>
      <c r="AD2580"/>
    </row>
    <row r="2581" spans="27:30" ht="15">
      <c r="AA2581"/>
      <c r="AB2581"/>
      <c r="AC2581"/>
      <c r="AD2581"/>
    </row>
    <row r="2582" spans="27:30" ht="15">
      <c r="AA2582"/>
      <c r="AB2582"/>
      <c r="AC2582"/>
      <c r="AD2582"/>
    </row>
    <row r="2583" spans="27:30" ht="15">
      <c r="AA2583"/>
      <c r="AB2583"/>
      <c r="AC2583"/>
      <c r="AD2583"/>
    </row>
    <row r="2584" spans="27:30" ht="15">
      <c r="AA2584"/>
      <c r="AB2584"/>
      <c r="AC2584"/>
      <c r="AD2584"/>
    </row>
    <row r="2585" spans="27:30" ht="15">
      <c r="AA2585"/>
      <c r="AB2585"/>
      <c r="AC2585"/>
      <c r="AD2585"/>
    </row>
    <row r="2586" spans="27:30" ht="15">
      <c r="AA2586"/>
      <c r="AB2586"/>
      <c r="AC2586"/>
      <c r="AD2586"/>
    </row>
    <row r="2587" spans="27:30" ht="15">
      <c r="AA2587"/>
      <c r="AB2587"/>
      <c r="AC2587"/>
      <c r="AD2587"/>
    </row>
    <row r="2588" spans="27:30" ht="15">
      <c r="AA2588"/>
      <c r="AB2588"/>
      <c r="AC2588"/>
      <c r="AD2588"/>
    </row>
    <row r="2589" spans="27:30" ht="15">
      <c r="AA2589"/>
      <c r="AB2589"/>
      <c r="AC2589"/>
      <c r="AD2589"/>
    </row>
    <row r="2590" spans="27:30" ht="15">
      <c r="AA2590"/>
      <c r="AB2590"/>
      <c r="AC2590"/>
      <c r="AD2590"/>
    </row>
    <row r="2591" spans="27:30" ht="15">
      <c r="AA2591"/>
      <c r="AB2591"/>
      <c r="AC2591"/>
      <c r="AD2591"/>
    </row>
    <row r="2592" spans="27:30" ht="15">
      <c r="AA2592"/>
      <c r="AB2592"/>
      <c r="AC2592"/>
      <c r="AD2592"/>
    </row>
    <row r="2593" spans="27:30" ht="15">
      <c r="AA2593"/>
      <c r="AB2593"/>
      <c r="AC2593"/>
      <c r="AD2593"/>
    </row>
    <row r="2594" spans="27:30" ht="15">
      <c r="AA2594"/>
      <c r="AB2594"/>
      <c r="AC2594"/>
      <c r="AD2594"/>
    </row>
    <row r="2595" spans="27:30" ht="15">
      <c r="AA2595"/>
      <c r="AB2595"/>
      <c r="AC2595"/>
      <c r="AD2595"/>
    </row>
    <row r="2596" spans="27:30" ht="15">
      <c r="AA2596"/>
      <c r="AB2596"/>
      <c r="AC2596"/>
      <c r="AD2596"/>
    </row>
    <row r="2597" spans="27:30" ht="15">
      <c r="AA2597"/>
      <c r="AB2597"/>
      <c r="AC2597"/>
      <c r="AD2597"/>
    </row>
    <row r="2598" spans="27:30" ht="15">
      <c r="AA2598"/>
      <c r="AB2598"/>
      <c r="AC2598"/>
      <c r="AD2598"/>
    </row>
    <row r="2599" spans="27:30" ht="15">
      <c r="AA2599"/>
      <c r="AB2599"/>
      <c r="AC2599"/>
      <c r="AD2599"/>
    </row>
    <row r="2600" spans="27:30" ht="15">
      <c r="AA2600"/>
      <c r="AB2600"/>
      <c r="AC2600"/>
      <c r="AD2600"/>
    </row>
    <row r="2601" spans="27:30" ht="15">
      <c r="AA2601"/>
      <c r="AB2601"/>
      <c r="AC2601"/>
      <c r="AD2601"/>
    </row>
    <row r="2602" spans="27:30" ht="15">
      <c r="AA2602"/>
      <c r="AB2602"/>
      <c r="AC2602"/>
      <c r="AD2602"/>
    </row>
    <row r="2603" spans="27:30" ht="15">
      <c r="AA2603"/>
      <c r="AB2603"/>
      <c r="AC2603"/>
      <c r="AD2603"/>
    </row>
    <row r="2604" spans="27:30" ht="15">
      <c r="AA2604"/>
      <c r="AB2604"/>
      <c r="AC2604"/>
      <c r="AD2604"/>
    </row>
    <row r="2605" spans="27:30" ht="15">
      <c r="AA2605"/>
      <c r="AB2605"/>
      <c r="AC2605"/>
      <c r="AD2605"/>
    </row>
    <row r="2606" spans="27:30" ht="15">
      <c r="AA2606"/>
      <c r="AB2606"/>
      <c r="AC2606"/>
      <c r="AD2606"/>
    </row>
    <row r="2607" spans="27:30" ht="15">
      <c r="AA2607"/>
      <c r="AB2607"/>
      <c r="AC2607"/>
      <c r="AD2607"/>
    </row>
    <row r="2608" spans="27:30" ht="15">
      <c r="AA2608"/>
      <c r="AB2608"/>
      <c r="AC2608"/>
      <c r="AD2608"/>
    </row>
    <row r="2609" spans="27:30" ht="15">
      <c r="AA2609"/>
      <c r="AB2609"/>
      <c r="AC2609"/>
      <c r="AD2609"/>
    </row>
    <row r="2610" spans="27:30" ht="15">
      <c r="AA2610"/>
      <c r="AB2610"/>
      <c r="AC2610"/>
      <c r="AD2610"/>
    </row>
    <row r="2611" spans="27:30" ht="15">
      <c r="AA2611"/>
      <c r="AB2611"/>
      <c r="AC2611"/>
      <c r="AD2611"/>
    </row>
    <row r="2612" spans="27:30" ht="15">
      <c r="AA2612"/>
      <c r="AB2612"/>
      <c r="AC2612"/>
      <c r="AD2612"/>
    </row>
    <row r="2613" spans="27:30" ht="15">
      <c r="AA2613"/>
      <c r="AB2613"/>
      <c r="AC2613"/>
      <c r="AD2613"/>
    </row>
    <row r="2614" spans="27:30" ht="15">
      <c r="AA2614"/>
      <c r="AB2614"/>
      <c r="AC2614"/>
      <c r="AD2614"/>
    </row>
    <row r="2615" spans="27:30" ht="15">
      <c r="AA2615"/>
      <c r="AB2615"/>
      <c r="AC2615"/>
      <c r="AD2615"/>
    </row>
    <row r="2616" spans="27:30" ht="15">
      <c r="AA2616"/>
      <c r="AB2616"/>
      <c r="AC2616"/>
      <c r="AD2616"/>
    </row>
    <row r="2617" spans="27:30" ht="15">
      <c r="AA2617"/>
      <c r="AB2617"/>
      <c r="AC2617"/>
      <c r="AD2617"/>
    </row>
    <row r="2618" spans="27:30" ht="15">
      <c r="AA2618"/>
      <c r="AB2618"/>
      <c r="AC2618"/>
      <c r="AD2618"/>
    </row>
    <row r="2619" spans="27:30" ht="15">
      <c r="AA2619"/>
      <c r="AB2619"/>
      <c r="AC2619"/>
      <c r="AD2619"/>
    </row>
    <row r="2620" spans="27:30" ht="15">
      <c r="AA2620"/>
      <c r="AB2620"/>
      <c r="AC2620"/>
      <c r="AD2620"/>
    </row>
    <row r="2621" spans="27:30" ht="15">
      <c r="AA2621"/>
      <c r="AB2621"/>
      <c r="AC2621"/>
      <c r="AD2621"/>
    </row>
    <row r="2622" spans="27:30" ht="15">
      <c r="AA2622"/>
      <c r="AB2622"/>
      <c r="AC2622"/>
      <c r="AD2622"/>
    </row>
    <row r="2623" spans="27:30" ht="15">
      <c r="AA2623"/>
      <c r="AB2623"/>
      <c r="AC2623"/>
      <c r="AD2623"/>
    </row>
    <row r="2624" spans="27:30" ht="15">
      <c r="AA2624"/>
      <c r="AB2624"/>
      <c r="AC2624"/>
      <c r="AD2624"/>
    </row>
    <row r="2625" spans="27:30" ht="15">
      <c r="AA2625"/>
      <c r="AB2625"/>
      <c r="AC2625"/>
      <c r="AD2625"/>
    </row>
    <row r="2626" spans="27:30" ht="15">
      <c r="AA2626"/>
      <c r="AB2626"/>
      <c r="AC2626"/>
      <c r="AD2626"/>
    </row>
    <row r="2627" spans="27:30" ht="15">
      <c r="AA2627"/>
      <c r="AB2627"/>
      <c r="AC2627"/>
      <c r="AD2627"/>
    </row>
    <row r="2628" spans="27:30" ht="15">
      <c r="AA2628"/>
      <c r="AB2628"/>
      <c r="AC2628"/>
      <c r="AD2628"/>
    </row>
    <row r="2629" spans="27:30" ht="15">
      <c r="AA2629"/>
      <c r="AB2629"/>
      <c r="AC2629"/>
      <c r="AD2629"/>
    </row>
    <row r="2630" spans="27:30" ht="15">
      <c r="AA2630"/>
      <c r="AB2630"/>
      <c r="AC2630"/>
      <c r="AD2630"/>
    </row>
    <row r="2631" spans="27:30" ht="15">
      <c r="AA2631"/>
      <c r="AB2631"/>
      <c r="AC2631"/>
      <c r="AD2631"/>
    </row>
    <row r="2632" spans="27:30" ht="15">
      <c r="AA2632"/>
      <c r="AB2632"/>
      <c r="AC2632"/>
      <c r="AD2632"/>
    </row>
    <row r="2633" spans="27:30" ht="15">
      <c r="AA2633"/>
      <c r="AB2633"/>
      <c r="AC2633"/>
      <c r="AD2633"/>
    </row>
    <row r="2634" spans="27:30" ht="15">
      <c r="AA2634"/>
      <c r="AB2634"/>
      <c r="AC2634"/>
      <c r="AD2634"/>
    </row>
    <row r="2635" spans="27:30" ht="15">
      <c r="AA2635"/>
      <c r="AB2635"/>
      <c r="AC2635"/>
      <c r="AD2635"/>
    </row>
    <row r="2636" spans="27:30" ht="15">
      <c r="AA2636"/>
      <c r="AB2636"/>
      <c r="AC2636"/>
      <c r="AD2636"/>
    </row>
    <row r="2637" spans="27:30" ht="15">
      <c r="AA2637"/>
      <c r="AB2637"/>
      <c r="AC2637"/>
      <c r="AD2637"/>
    </row>
    <row r="2638" spans="27:30" ht="15">
      <c r="AA2638"/>
      <c r="AB2638"/>
      <c r="AC2638"/>
      <c r="AD2638"/>
    </row>
    <row r="2639" spans="27:30" ht="15">
      <c r="AA2639"/>
      <c r="AB2639"/>
      <c r="AC2639"/>
      <c r="AD2639"/>
    </row>
    <row r="2640" spans="27:30" ht="15">
      <c r="AA2640"/>
      <c r="AB2640"/>
      <c r="AC2640"/>
      <c r="AD2640"/>
    </row>
    <row r="2641" spans="27:30" ht="15">
      <c r="AA2641"/>
      <c r="AB2641"/>
      <c r="AC2641"/>
      <c r="AD2641"/>
    </row>
    <row r="2642" spans="27:30" ht="15">
      <c r="AA2642"/>
      <c r="AB2642"/>
      <c r="AC2642"/>
      <c r="AD2642"/>
    </row>
    <row r="2643" spans="27:30" ht="15">
      <c r="AA2643"/>
      <c r="AB2643"/>
      <c r="AC2643"/>
      <c r="AD2643"/>
    </row>
    <row r="2644" spans="27:30" ht="15">
      <c r="AA2644"/>
      <c r="AB2644"/>
      <c r="AC2644"/>
      <c r="AD2644"/>
    </row>
    <row r="2645" spans="27:30" ht="15">
      <c r="AA2645"/>
      <c r="AB2645"/>
      <c r="AC2645"/>
      <c r="AD2645"/>
    </row>
    <row r="2646" spans="27:30" ht="15">
      <c r="AA2646"/>
      <c r="AB2646"/>
      <c r="AC2646"/>
      <c r="AD2646"/>
    </row>
    <row r="2647" spans="27:30" ht="15">
      <c r="AA2647"/>
      <c r="AB2647"/>
      <c r="AC2647"/>
      <c r="AD2647"/>
    </row>
    <row r="2648" spans="27:30" ht="15">
      <c r="AA2648"/>
      <c r="AB2648"/>
      <c r="AC2648"/>
      <c r="AD2648"/>
    </row>
    <row r="2649" spans="27:30" ht="15">
      <c r="AA2649"/>
      <c r="AB2649"/>
      <c r="AC2649"/>
      <c r="AD2649"/>
    </row>
    <row r="2650" spans="27:30" ht="15">
      <c r="AA2650"/>
      <c r="AB2650"/>
      <c r="AC2650"/>
      <c r="AD2650"/>
    </row>
    <row r="2651" spans="27:30" ht="15">
      <c r="AA2651"/>
      <c r="AB2651"/>
      <c r="AC2651"/>
      <c r="AD2651"/>
    </row>
    <row r="2652" spans="27:30" ht="15">
      <c r="AA2652"/>
      <c r="AB2652"/>
      <c r="AC2652"/>
      <c r="AD2652"/>
    </row>
    <row r="2653" spans="27:30" ht="15">
      <c r="AA2653"/>
      <c r="AB2653"/>
      <c r="AC2653"/>
      <c r="AD2653"/>
    </row>
    <row r="2654" spans="27:30" ht="15">
      <c r="AA2654"/>
      <c r="AB2654"/>
      <c r="AC2654"/>
      <c r="AD2654"/>
    </row>
    <row r="2655" spans="27:30" ht="15">
      <c r="AA2655"/>
      <c r="AB2655"/>
      <c r="AC2655"/>
      <c r="AD2655"/>
    </row>
    <row r="2656" spans="27:30" ht="15">
      <c r="AA2656"/>
      <c r="AB2656"/>
      <c r="AC2656"/>
      <c r="AD2656"/>
    </row>
    <row r="2657" spans="27:30" ht="15">
      <c r="AA2657"/>
      <c r="AB2657"/>
      <c r="AC2657"/>
      <c r="AD2657"/>
    </row>
    <row r="2658" spans="27:30" ht="15">
      <c r="AA2658"/>
      <c r="AB2658"/>
      <c r="AC2658"/>
      <c r="AD2658"/>
    </row>
    <row r="2659" spans="27:30" ht="15">
      <c r="AA2659"/>
      <c r="AB2659"/>
      <c r="AC2659"/>
      <c r="AD2659"/>
    </row>
    <row r="2660" spans="27:30" ht="15">
      <c r="AA2660"/>
      <c r="AB2660"/>
      <c r="AC2660"/>
      <c r="AD2660"/>
    </row>
    <row r="2661" spans="27:30" ht="15">
      <c r="AA2661"/>
      <c r="AB2661"/>
      <c r="AC2661"/>
      <c r="AD2661"/>
    </row>
    <row r="2662" spans="27:30" ht="15">
      <c r="AA2662"/>
      <c r="AB2662"/>
      <c r="AC2662"/>
      <c r="AD2662"/>
    </row>
    <row r="2663" spans="27:30" ht="15">
      <c r="AA2663"/>
      <c r="AB2663"/>
      <c r="AC2663"/>
      <c r="AD2663"/>
    </row>
    <row r="2664" spans="27:30" ht="15">
      <c r="AA2664"/>
      <c r="AB2664"/>
      <c r="AC2664"/>
      <c r="AD2664"/>
    </row>
    <row r="2665" spans="27:30" ht="15">
      <c r="AA2665"/>
      <c r="AB2665"/>
      <c r="AC2665"/>
      <c r="AD2665"/>
    </row>
    <row r="2666" spans="27:30" ht="15">
      <c r="AA2666"/>
      <c r="AB2666"/>
      <c r="AC2666"/>
      <c r="AD2666"/>
    </row>
    <row r="2667" spans="27:30" ht="15">
      <c r="AA2667"/>
      <c r="AB2667"/>
      <c r="AC2667"/>
      <c r="AD2667"/>
    </row>
    <row r="2668" spans="27:30" ht="15">
      <c r="AA2668"/>
      <c r="AB2668"/>
      <c r="AC2668"/>
      <c r="AD2668"/>
    </row>
    <row r="2669" spans="27:30" ht="15">
      <c r="AA2669"/>
      <c r="AB2669"/>
      <c r="AC2669"/>
      <c r="AD2669"/>
    </row>
    <row r="2670" spans="27:30" ht="15">
      <c r="AA2670"/>
      <c r="AB2670"/>
      <c r="AC2670"/>
      <c r="AD2670"/>
    </row>
    <row r="2671" spans="27:30" ht="15">
      <c r="AA2671"/>
      <c r="AB2671"/>
      <c r="AC2671"/>
      <c r="AD2671"/>
    </row>
    <row r="2672" spans="27:30" ht="15">
      <c r="AA2672"/>
      <c r="AB2672"/>
      <c r="AC2672"/>
      <c r="AD2672"/>
    </row>
    <row r="2673" spans="27:30" ht="15">
      <c r="AA2673"/>
      <c r="AB2673"/>
      <c r="AC2673"/>
      <c r="AD2673"/>
    </row>
    <row r="2674" spans="27:30" ht="15">
      <c r="AA2674"/>
      <c r="AB2674"/>
      <c r="AC2674"/>
      <c r="AD2674"/>
    </row>
    <row r="2675" spans="27:30" ht="15">
      <c r="AA2675"/>
      <c r="AB2675"/>
      <c r="AC2675"/>
      <c r="AD2675"/>
    </row>
    <row r="2676" spans="27:30" ht="15">
      <c r="AA2676"/>
      <c r="AB2676"/>
      <c r="AC2676"/>
      <c r="AD2676"/>
    </row>
    <row r="2677" spans="27:30" ht="15">
      <c r="AA2677"/>
      <c r="AB2677"/>
      <c r="AC2677"/>
      <c r="AD2677"/>
    </row>
    <row r="2678" spans="27:30" ht="15">
      <c r="AA2678"/>
      <c r="AB2678"/>
      <c r="AC2678"/>
      <c r="AD2678"/>
    </row>
    <row r="2679" spans="27:30" ht="15">
      <c r="AA2679"/>
      <c r="AB2679"/>
      <c r="AC2679"/>
      <c r="AD2679"/>
    </row>
    <row r="2680" spans="27:30" ht="15">
      <c r="AA2680"/>
      <c r="AB2680"/>
      <c r="AC2680"/>
      <c r="AD2680"/>
    </row>
    <row r="2681" spans="27:30" ht="15">
      <c r="AA2681"/>
      <c r="AB2681"/>
      <c r="AC2681"/>
      <c r="AD2681"/>
    </row>
    <row r="2682" spans="27:30" ht="15">
      <c r="AA2682"/>
      <c r="AB2682"/>
      <c r="AC2682"/>
      <c r="AD2682"/>
    </row>
    <row r="2683" spans="27:30" ht="15">
      <c r="AA2683"/>
      <c r="AB2683"/>
      <c r="AC2683"/>
      <c r="AD2683"/>
    </row>
    <row r="2684" spans="27:30" ht="15">
      <c r="AA2684"/>
      <c r="AB2684"/>
      <c r="AC2684"/>
      <c r="AD2684"/>
    </row>
    <row r="2685" spans="27:30" ht="15">
      <c r="AA2685"/>
      <c r="AB2685"/>
      <c r="AC2685"/>
      <c r="AD2685"/>
    </row>
    <row r="2686" spans="27:30" ht="15">
      <c r="AA2686"/>
      <c r="AB2686"/>
      <c r="AC2686"/>
      <c r="AD2686"/>
    </row>
    <row r="2687" spans="27:30" ht="15">
      <c r="AA2687"/>
      <c r="AB2687"/>
      <c r="AC2687"/>
      <c r="AD2687"/>
    </row>
    <row r="2688" spans="27:30" ht="15">
      <c r="AA2688"/>
      <c r="AB2688"/>
      <c r="AC2688"/>
      <c r="AD2688"/>
    </row>
    <row r="2689" spans="27:30" ht="15">
      <c r="AA2689"/>
      <c r="AB2689"/>
      <c r="AC2689"/>
      <c r="AD2689"/>
    </row>
    <row r="2690" spans="27:30" ht="15">
      <c r="AA2690"/>
      <c r="AB2690"/>
      <c r="AC2690"/>
      <c r="AD2690"/>
    </row>
    <row r="2691" spans="27:30" ht="15">
      <c r="AA2691"/>
      <c r="AB2691"/>
      <c r="AC2691"/>
      <c r="AD2691"/>
    </row>
    <row r="2692" spans="27:30" ht="15">
      <c r="AA2692"/>
      <c r="AB2692"/>
      <c r="AC2692"/>
      <c r="AD2692"/>
    </row>
    <row r="2693" spans="27:30" ht="15">
      <c r="AA2693"/>
      <c r="AB2693"/>
      <c r="AC2693"/>
      <c r="AD2693"/>
    </row>
    <row r="2694" spans="27:30" ht="15">
      <c r="AA2694"/>
      <c r="AB2694"/>
      <c r="AC2694"/>
      <c r="AD2694"/>
    </row>
    <row r="2695" spans="27:30" ht="15">
      <c r="AA2695"/>
      <c r="AB2695"/>
      <c r="AC2695"/>
      <c r="AD2695"/>
    </row>
    <row r="2696" spans="27:30" ht="15">
      <c r="AA2696"/>
      <c r="AB2696"/>
      <c r="AC2696"/>
      <c r="AD2696"/>
    </row>
    <row r="2697" spans="27:30" ht="15">
      <c r="AA2697"/>
      <c r="AB2697"/>
      <c r="AC2697"/>
      <c r="AD2697"/>
    </row>
    <row r="2698" spans="27:30" ht="15">
      <c r="AA2698"/>
      <c r="AB2698"/>
      <c r="AC2698"/>
      <c r="AD2698"/>
    </row>
    <row r="2699" spans="27:30" ht="15">
      <c r="AA2699"/>
      <c r="AB2699"/>
      <c r="AC2699"/>
      <c r="AD2699"/>
    </row>
    <row r="2700" spans="27:30" ht="15">
      <c r="AA2700"/>
      <c r="AB2700"/>
      <c r="AC2700"/>
      <c r="AD2700"/>
    </row>
    <row r="2701" spans="27:30" ht="15">
      <c r="AA2701"/>
      <c r="AB2701"/>
      <c r="AC2701"/>
      <c r="AD2701"/>
    </row>
    <row r="2702" spans="27:30" ht="15">
      <c r="AA2702"/>
      <c r="AB2702"/>
      <c r="AC2702"/>
      <c r="AD2702"/>
    </row>
    <row r="2703" spans="27:30" ht="15">
      <c r="AA2703"/>
      <c r="AB2703"/>
      <c r="AC2703"/>
      <c r="AD2703"/>
    </row>
    <row r="2704" spans="27:30" ht="15">
      <c r="AA2704"/>
      <c r="AB2704"/>
      <c r="AC2704"/>
      <c r="AD2704"/>
    </row>
    <row r="2705" spans="27:30" ht="15">
      <c r="AA2705"/>
      <c r="AB2705"/>
      <c r="AC2705"/>
      <c r="AD2705"/>
    </row>
    <row r="2706" spans="27:30" ht="15">
      <c r="AA2706"/>
      <c r="AB2706"/>
      <c r="AC2706"/>
      <c r="AD2706"/>
    </row>
    <row r="2707" spans="27:30" ht="15">
      <c r="AA2707"/>
      <c r="AB2707"/>
      <c r="AC2707"/>
      <c r="AD2707"/>
    </row>
    <row r="2708" spans="27:30" ht="15">
      <c r="AA2708"/>
      <c r="AB2708"/>
      <c r="AC2708"/>
      <c r="AD2708"/>
    </row>
    <row r="2709" spans="27:30" ht="15">
      <c r="AA2709"/>
      <c r="AB2709"/>
      <c r="AC2709"/>
      <c r="AD2709"/>
    </row>
    <row r="2710" spans="27:30" ht="15">
      <c r="AA2710"/>
      <c r="AB2710"/>
      <c r="AC2710"/>
      <c r="AD2710"/>
    </row>
    <row r="2711" spans="27:30" ht="15">
      <c r="AA2711"/>
      <c r="AB2711"/>
      <c r="AC2711"/>
      <c r="AD2711"/>
    </row>
    <row r="2712" spans="27:30" ht="15">
      <c r="AA2712"/>
      <c r="AB2712"/>
      <c r="AC2712"/>
      <c r="AD2712"/>
    </row>
    <row r="2713" spans="27:30" ht="15">
      <c r="AA2713"/>
      <c r="AB2713"/>
      <c r="AC2713"/>
      <c r="AD2713"/>
    </row>
    <row r="2714" spans="27:30" ht="15">
      <c r="AA2714"/>
      <c r="AB2714"/>
      <c r="AC2714"/>
      <c r="AD2714"/>
    </row>
    <row r="2715" spans="27:30" ht="15">
      <c r="AA2715"/>
      <c r="AB2715"/>
      <c r="AC2715"/>
      <c r="AD2715"/>
    </row>
    <row r="2716" spans="27:30" ht="15">
      <c r="AA2716"/>
      <c r="AB2716"/>
      <c r="AC2716"/>
      <c r="AD2716"/>
    </row>
    <row r="2717" spans="27:30" ht="15">
      <c r="AA2717"/>
      <c r="AB2717"/>
      <c r="AC2717"/>
      <c r="AD2717"/>
    </row>
    <row r="2718" spans="27:30" ht="15">
      <c r="AA2718"/>
      <c r="AB2718"/>
      <c r="AC2718"/>
      <c r="AD2718"/>
    </row>
    <row r="2719" spans="27:30" ht="15">
      <c r="AA2719"/>
      <c r="AB2719"/>
      <c r="AC2719"/>
      <c r="AD2719"/>
    </row>
    <row r="2720" spans="27:30" ht="15">
      <c r="AA2720"/>
      <c r="AB2720"/>
      <c r="AC2720"/>
      <c r="AD2720"/>
    </row>
    <row r="2721" spans="27:30" ht="15">
      <c r="AA2721"/>
      <c r="AB2721"/>
      <c r="AC2721"/>
      <c r="AD2721"/>
    </row>
    <row r="2722" spans="27:30" ht="15">
      <c r="AA2722"/>
      <c r="AB2722"/>
      <c r="AC2722"/>
      <c r="AD2722"/>
    </row>
    <row r="2723" spans="27:30" ht="15">
      <c r="AA2723"/>
      <c r="AB2723"/>
      <c r="AC2723"/>
      <c r="AD2723"/>
    </row>
    <row r="2724" spans="27:30" ht="15">
      <c r="AA2724"/>
      <c r="AB2724"/>
      <c r="AC2724"/>
      <c r="AD2724"/>
    </row>
    <row r="2725" spans="27:30" ht="15">
      <c r="AA2725"/>
      <c r="AB2725"/>
      <c r="AC2725"/>
      <c r="AD2725"/>
    </row>
    <row r="2726" spans="27:30" ht="15">
      <c r="AA2726"/>
      <c r="AB2726"/>
      <c r="AC2726"/>
      <c r="AD2726"/>
    </row>
    <row r="2727" spans="27:30" ht="15">
      <c r="AA2727"/>
      <c r="AB2727"/>
      <c r="AC2727"/>
      <c r="AD2727"/>
    </row>
    <row r="2728" spans="27:30" ht="15">
      <c r="AA2728"/>
      <c r="AB2728"/>
      <c r="AC2728"/>
      <c r="AD2728"/>
    </row>
    <row r="2729" spans="27:30" ht="15">
      <c r="AA2729"/>
      <c r="AB2729"/>
      <c r="AC2729"/>
      <c r="AD2729"/>
    </row>
    <row r="2730" spans="27:30" ht="15">
      <c r="AA2730"/>
      <c r="AB2730"/>
      <c r="AC2730"/>
      <c r="AD2730"/>
    </row>
    <row r="2731" spans="27:30" ht="15">
      <c r="AA2731"/>
      <c r="AB2731"/>
      <c r="AC2731"/>
      <c r="AD2731"/>
    </row>
    <row r="2732" spans="27:30" ht="15">
      <c r="AA2732"/>
      <c r="AB2732"/>
      <c r="AC2732"/>
      <c r="AD2732"/>
    </row>
    <row r="2733" spans="27:30" ht="15">
      <c r="AA2733"/>
      <c r="AB2733"/>
      <c r="AC2733"/>
      <c r="AD2733"/>
    </row>
    <row r="2734" spans="27:30" ht="15">
      <c r="AA2734"/>
      <c r="AB2734"/>
      <c r="AC2734"/>
      <c r="AD2734"/>
    </row>
    <row r="2735" spans="27:30" ht="15">
      <c r="AA2735"/>
      <c r="AB2735"/>
      <c r="AC2735"/>
      <c r="AD2735"/>
    </row>
    <row r="2736" spans="27:30" ht="15">
      <c r="AA2736"/>
      <c r="AB2736"/>
      <c r="AC2736"/>
      <c r="AD2736"/>
    </row>
    <row r="2737" spans="27:30" ht="15">
      <c r="AA2737"/>
      <c r="AB2737"/>
      <c r="AC2737"/>
      <c r="AD2737"/>
    </row>
    <row r="2738" spans="27:30" ht="15">
      <c r="AA2738"/>
      <c r="AB2738"/>
      <c r="AC2738"/>
      <c r="AD2738"/>
    </row>
    <row r="2739" spans="27:30" ht="15">
      <c r="AA2739"/>
      <c r="AB2739"/>
      <c r="AC2739"/>
      <c r="AD2739"/>
    </row>
    <row r="2740" spans="27:30" ht="15">
      <c r="AA2740"/>
      <c r="AB2740"/>
      <c r="AC2740"/>
      <c r="AD2740"/>
    </row>
    <row r="2741" spans="27:30" ht="15">
      <c r="AA2741"/>
      <c r="AB2741"/>
      <c r="AC2741"/>
      <c r="AD2741"/>
    </row>
    <row r="2742" spans="27:30" ht="15">
      <c r="AA2742"/>
      <c r="AB2742"/>
      <c r="AC2742"/>
      <c r="AD2742"/>
    </row>
    <row r="2743" spans="27:30" ht="15">
      <c r="AA2743"/>
      <c r="AB2743"/>
      <c r="AC2743"/>
      <c r="AD2743"/>
    </row>
    <row r="2744" spans="27:30" ht="15">
      <c r="AA2744"/>
      <c r="AB2744"/>
      <c r="AC2744"/>
      <c r="AD2744"/>
    </row>
    <row r="2745" spans="27:30" ht="15">
      <c r="AA2745"/>
      <c r="AB2745"/>
      <c r="AC2745"/>
      <c r="AD2745"/>
    </row>
    <row r="2746" spans="27:30" ht="15">
      <c r="AA2746"/>
      <c r="AB2746"/>
      <c r="AC2746"/>
      <c r="AD2746"/>
    </row>
    <row r="2747" spans="27:30" ht="15">
      <c r="AA2747"/>
      <c r="AB2747"/>
      <c r="AC2747"/>
      <c r="AD2747"/>
    </row>
    <row r="2748" spans="27:30" ht="15">
      <c r="AA2748"/>
      <c r="AB2748"/>
      <c r="AC2748"/>
      <c r="AD2748"/>
    </row>
    <row r="2749" spans="27:30" ht="15">
      <c r="AA2749"/>
      <c r="AB2749"/>
      <c r="AC2749"/>
      <c r="AD2749"/>
    </row>
    <row r="2750" spans="27:30" ht="15">
      <c r="AA2750"/>
      <c r="AB2750"/>
      <c r="AC2750"/>
      <c r="AD2750"/>
    </row>
    <row r="2751" spans="27:30" ht="15">
      <c r="AA2751"/>
      <c r="AB2751"/>
      <c r="AC2751"/>
      <c r="AD2751"/>
    </row>
    <row r="2752" spans="27:30" ht="15">
      <c r="AA2752"/>
      <c r="AB2752"/>
      <c r="AC2752"/>
      <c r="AD2752"/>
    </row>
    <row r="2753" spans="27:30" ht="15">
      <c r="AA2753"/>
      <c r="AB2753"/>
      <c r="AC2753"/>
      <c r="AD2753"/>
    </row>
    <row r="2754" spans="27:30" ht="15">
      <c r="AA2754"/>
      <c r="AB2754"/>
      <c r="AC2754"/>
      <c r="AD2754"/>
    </row>
    <row r="2755" spans="27:30" ht="15">
      <c r="AA2755"/>
      <c r="AB2755"/>
      <c r="AC2755"/>
      <c r="AD2755"/>
    </row>
    <row r="2756" spans="27:30" ht="15">
      <c r="AA2756"/>
      <c r="AB2756"/>
      <c r="AC2756"/>
      <c r="AD2756"/>
    </row>
    <row r="2757" spans="27:30" ht="15">
      <c r="AA2757"/>
      <c r="AB2757"/>
      <c r="AC2757"/>
      <c r="AD2757"/>
    </row>
    <row r="2758" spans="27:30" ht="15">
      <c r="AA2758"/>
      <c r="AB2758"/>
      <c r="AC2758"/>
      <c r="AD2758"/>
    </row>
    <row r="2759" spans="27:30" ht="15">
      <c r="AA2759"/>
      <c r="AB2759"/>
      <c r="AC2759"/>
      <c r="AD2759"/>
    </row>
    <row r="2760" spans="27:30" ht="15">
      <c r="AA2760"/>
      <c r="AB2760"/>
      <c r="AC2760"/>
      <c r="AD2760"/>
    </row>
    <row r="2761" spans="27:30" ht="15">
      <c r="AA2761"/>
      <c r="AB2761"/>
      <c r="AC2761"/>
      <c r="AD2761"/>
    </row>
    <row r="2762" spans="27:30" ht="15">
      <c r="AA2762"/>
      <c r="AB2762"/>
      <c r="AC2762"/>
      <c r="AD2762"/>
    </row>
    <row r="2763" spans="27:30" ht="15">
      <c r="AA2763"/>
      <c r="AB2763"/>
      <c r="AC2763"/>
      <c r="AD2763"/>
    </row>
    <row r="2764" spans="27:30" ht="15">
      <c r="AA2764"/>
      <c r="AB2764"/>
      <c r="AC2764"/>
      <c r="AD2764"/>
    </row>
    <row r="2765" spans="27:30" ht="15">
      <c r="AA2765"/>
      <c r="AB2765"/>
      <c r="AC2765"/>
      <c r="AD2765"/>
    </row>
    <row r="2766" spans="27:30" ht="15">
      <c r="AA2766"/>
      <c r="AB2766"/>
      <c r="AC2766"/>
      <c r="AD2766"/>
    </row>
    <row r="2767" spans="27:30" ht="15">
      <c r="AA2767"/>
      <c r="AB2767"/>
      <c r="AC2767"/>
      <c r="AD2767"/>
    </row>
    <row r="2768" spans="27:30" ht="15">
      <c r="AA2768"/>
      <c r="AB2768"/>
      <c r="AC2768"/>
      <c r="AD2768"/>
    </row>
    <row r="2769" spans="27:30" ht="15">
      <c r="AA2769"/>
      <c r="AB2769"/>
      <c r="AC2769"/>
      <c r="AD2769"/>
    </row>
    <row r="2770" spans="27:30" ht="15">
      <c r="AA2770"/>
      <c r="AB2770"/>
      <c r="AC2770"/>
      <c r="AD2770"/>
    </row>
    <row r="2771" spans="27:30" ht="15">
      <c r="AA2771"/>
      <c r="AB2771"/>
      <c r="AC2771"/>
      <c r="AD2771"/>
    </row>
    <row r="2772" spans="27:30" ht="15">
      <c r="AA2772"/>
      <c r="AB2772"/>
      <c r="AC2772"/>
      <c r="AD2772"/>
    </row>
    <row r="2773" spans="27:30" ht="15">
      <c r="AA2773"/>
      <c r="AB2773"/>
      <c r="AC2773"/>
      <c r="AD2773"/>
    </row>
    <row r="2774" spans="27:30" ht="15">
      <c r="AA2774"/>
      <c r="AB2774"/>
      <c r="AC2774"/>
      <c r="AD2774"/>
    </row>
    <row r="2775" spans="27:30" ht="15">
      <c r="AA2775"/>
      <c r="AB2775"/>
      <c r="AC2775"/>
      <c r="AD2775"/>
    </row>
    <row r="2776" spans="27:30" ht="15">
      <c r="AA2776"/>
      <c r="AB2776"/>
      <c r="AC2776"/>
      <c r="AD2776"/>
    </row>
    <row r="2777" spans="27:30" ht="15">
      <c r="AA2777"/>
      <c r="AB2777"/>
      <c r="AC2777"/>
      <c r="AD2777"/>
    </row>
    <row r="2778" spans="27:30" ht="15">
      <c r="AA2778"/>
      <c r="AB2778"/>
      <c r="AC2778"/>
      <c r="AD2778"/>
    </row>
    <row r="2779" spans="27:30" ht="15">
      <c r="AA2779"/>
      <c r="AB2779"/>
      <c r="AC2779"/>
      <c r="AD2779"/>
    </row>
    <row r="2780" spans="27:30" ht="15">
      <c r="AA2780"/>
      <c r="AB2780"/>
      <c r="AC2780"/>
      <c r="AD2780"/>
    </row>
    <row r="2781" spans="27:30" ht="15">
      <c r="AA2781"/>
      <c r="AB2781"/>
      <c r="AC2781"/>
      <c r="AD2781"/>
    </row>
    <row r="2782" spans="27:30" ht="15">
      <c r="AA2782"/>
      <c r="AB2782"/>
      <c r="AC2782"/>
      <c r="AD2782"/>
    </row>
    <row r="2783" spans="27:30" ht="15">
      <c r="AA2783"/>
      <c r="AB2783"/>
      <c r="AC2783"/>
      <c r="AD2783"/>
    </row>
    <row r="2784" spans="27:30" ht="15">
      <c r="AA2784"/>
      <c r="AB2784"/>
      <c r="AC2784"/>
      <c r="AD2784"/>
    </row>
    <row r="2785" spans="27:30" ht="15">
      <c r="AA2785"/>
      <c r="AB2785"/>
      <c r="AC2785"/>
      <c r="AD2785"/>
    </row>
    <row r="2786" spans="27:30" ht="15">
      <c r="AA2786"/>
      <c r="AB2786"/>
      <c r="AC2786"/>
      <c r="AD2786"/>
    </row>
    <row r="2787" spans="27:30" ht="15">
      <c r="AA2787"/>
      <c r="AB2787"/>
      <c r="AC2787"/>
      <c r="AD2787"/>
    </row>
    <row r="2788" spans="27:30" ht="15">
      <c r="AA2788"/>
      <c r="AB2788"/>
      <c r="AC2788"/>
      <c r="AD2788"/>
    </row>
    <row r="2789" spans="27:30" ht="15">
      <c r="AA2789"/>
      <c r="AB2789"/>
      <c r="AC2789"/>
      <c r="AD2789"/>
    </row>
    <row r="2790" spans="27:30" ht="15">
      <c r="AA2790"/>
      <c r="AB2790"/>
      <c r="AC2790"/>
      <c r="AD2790"/>
    </row>
    <row r="2791" spans="27:30" ht="15">
      <c r="AA2791"/>
      <c r="AB2791"/>
      <c r="AC2791"/>
      <c r="AD2791"/>
    </row>
    <row r="2792" spans="27:30" ht="15">
      <c r="AA2792"/>
      <c r="AB2792"/>
      <c r="AC2792"/>
      <c r="AD2792"/>
    </row>
    <row r="2793" spans="27:30" ht="15">
      <c r="AA2793"/>
      <c r="AB2793"/>
      <c r="AC2793"/>
      <c r="AD2793"/>
    </row>
    <row r="2794" spans="27:30" ht="15">
      <c r="AA2794"/>
      <c r="AB2794"/>
      <c r="AC2794"/>
      <c r="AD2794"/>
    </row>
    <row r="2795" spans="27:30" ht="15">
      <c r="AA2795"/>
      <c r="AB2795"/>
      <c r="AC2795"/>
      <c r="AD2795"/>
    </row>
    <row r="2796" spans="27:30" ht="15">
      <c r="AA2796"/>
      <c r="AB2796"/>
      <c r="AC2796"/>
      <c r="AD2796"/>
    </row>
    <row r="2797" spans="27:30" ht="15">
      <c r="AA2797"/>
      <c r="AB2797"/>
      <c r="AC2797"/>
      <c r="AD2797"/>
    </row>
    <row r="2798" spans="27:30" ht="15">
      <c r="AA2798"/>
      <c r="AB2798"/>
      <c r="AC2798"/>
      <c r="AD2798"/>
    </row>
    <row r="2799" spans="27:30" ht="15">
      <c r="AA2799"/>
      <c r="AB2799"/>
      <c r="AC2799"/>
      <c r="AD2799"/>
    </row>
    <row r="2800" spans="27:30" ht="15">
      <c r="AA2800"/>
      <c r="AB2800"/>
      <c r="AC2800"/>
      <c r="AD2800"/>
    </row>
    <row r="2801" spans="27:30" ht="15">
      <c r="AA2801"/>
      <c r="AB2801"/>
      <c r="AC2801"/>
      <c r="AD2801"/>
    </row>
    <row r="2802" spans="27:30" ht="15">
      <c r="AA2802"/>
      <c r="AB2802"/>
      <c r="AC2802"/>
      <c r="AD2802"/>
    </row>
    <row r="2803" spans="27:30" ht="15">
      <c r="AA2803"/>
      <c r="AB2803"/>
      <c r="AC2803"/>
      <c r="AD2803"/>
    </row>
    <row r="2804" spans="27:30" ht="15">
      <c r="AA2804"/>
      <c r="AB2804"/>
      <c r="AC2804"/>
      <c r="AD2804"/>
    </row>
    <row r="2805" spans="27:30" ht="15">
      <c r="AA2805"/>
      <c r="AB2805"/>
      <c r="AC2805"/>
      <c r="AD2805"/>
    </row>
    <row r="2806" spans="27:30" ht="15">
      <c r="AA2806"/>
      <c r="AB2806"/>
      <c r="AC2806"/>
      <c r="AD2806"/>
    </row>
    <row r="2807" spans="27:30" ht="15">
      <c r="AA2807"/>
      <c r="AB2807"/>
      <c r="AC2807"/>
      <c r="AD2807"/>
    </row>
    <row r="2808" spans="27:30" ht="15">
      <c r="AA2808"/>
      <c r="AB2808"/>
      <c r="AC2808"/>
      <c r="AD2808"/>
    </row>
    <row r="2809" spans="27:30" ht="15">
      <c r="AA2809"/>
      <c r="AB2809"/>
      <c r="AC2809"/>
      <c r="AD2809"/>
    </row>
    <row r="2810" spans="27:30" ht="15">
      <c r="AA2810"/>
      <c r="AB2810"/>
      <c r="AC2810"/>
      <c r="AD2810"/>
    </row>
    <row r="2811" spans="27:30" ht="15">
      <c r="AA2811"/>
      <c r="AB2811"/>
      <c r="AC2811"/>
      <c r="AD2811"/>
    </row>
    <row r="2812" spans="27:30" ht="15">
      <c r="AA2812"/>
      <c r="AB2812"/>
      <c r="AC2812"/>
      <c r="AD2812"/>
    </row>
    <row r="2813" spans="27:30" ht="15">
      <c r="AA2813"/>
      <c r="AB2813"/>
      <c r="AC2813"/>
      <c r="AD2813"/>
    </row>
    <row r="2814" spans="27:30" ht="15">
      <c r="AA2814"/>
      <c r="AB2814"/>
      <c r="AC2814"/>
      <c r="AD2814"/>
    </row>
    <row r="2815" spans="27:30" ht="15">
      <c r="AA2815"/>
      <c r="AB2815"/>
      <c r="AC2815"/>
      <c r="AD2815"/>
    </row>
    <row r="2816" spans="27:30" ht="15">
      <c r="AA2816"/>
      <c r="AB2816"/>
      <c r="AC2816"/>
      <c r="AD2816"/>
    </row>
    <row r="2817" spans="27:30" ht="15">
      <c r="AA2817"/>
      <c r="AB2817"/>
      <c r="AC2817"/>
      <c r="AD2817"/>
    </row>
    <row r="2818" spans="27:30" ht="15">
      <c r="AA2818"/>
      <c r="AB2818"/>
      <c r="AC2818"/>
      <c r="AD2818"/>
    </row>
    <row r="2819" spans="27:30" ht="15">
      <c r="AA2819"/>
      <c r="AB2819"/>
      <c r="AC2819"/>
      <c r="AD2819"/>
    </row>
    <row r="2820" spans="27:30" ht="15">
      <c r="AA2820"/>
      <c r="AB2820"/>
      <c r="AC2820"/>
      <c r="AD2820"/>
    </row>
    <row r="2821" spans="27:30" ht="15">
      <c r="AA2821"/>
      <c r="AB2821"/>
      <c r="AC2821"/>
      <c r="AD2821"/>
    </row>
    <row r="2822" spans="27:30" ht="15">
      <c r="AA2822"/>
      <c r="AB2822"/>
      <c r="AC2822"/>
      <c r="AD2822"/>
    </row>
    <row r="2823" spans="27:30" ht="15">
      <c r="AA2823"/>
      <c r="AB2823"/>
      <c r="AC2823"/>
      <c r="AD2823"/>
    </row>
    <row r="2824" spans="27:30" ht="15">
      <c r="AA2824"/>
      <c r="AB2824"/>
      <c r="AC2824"/>
      <c r="AD2824"/>
    </row>
    <row r="2825" spans="27:30" ht="15">
      <c r="AA2825"/>
      <c r="AB2825"/>
      <c r="AC2825"/>
      <c r="AD2825"/>
    </row>
    <row r="2826" spans="27:30" ht="15">
      <c r="AA2826"/>
      <c r="AB2826"/>
      <c r="AC2826"/>
      <c r="AD2826"/>
    </row>
    <row r="2827" spans="27:30" ht="15">
      <c r="AA2827"/>
      <c r="AB2827"/>
      <c r="AC2827"/>
      <c r="AD2827"/>
    </row>
    <row r="2828" spans="27:30" ht="15">
      <c r="AA2828"/>
      <c r="AB2828"/>
      <c r="AC2828"/>
      <c r="AD2828"/>
    </row>
    <row r="2829" spans="27:30" ht="15">
      <c r="AA2829"/>
      <c r="AB2829"/>
      <c r="AC2829"/>
      <c r="AD2829"/>
    </row>
    <row r="2830" spans="27:30" ht="15">
      <c r="AA2830"/>
      <c r="AB2830"/>
      <c r="AC2830"/>
      <c r="AD2830"/>
    </row>
    <row r="2831" spans="27:30" ht="15">
      <c r="AA2831"/>
      <c r="AB2831"/>
      <c r="AC2831"/>
      <c r="AD2831"/>
    </row>
    <row r="2832" spans="27:30" ht="15">
      <c r="AA2832"/>
      <c r="AB2832"/>
      <c r="AC2832"/>
      <c r="AD2832"/>
    </row>
    <row r="2833" spans="27:30" ht="15">
      <c r="AA2833"/>
      <c r="AB2833"/>
      <c r="AC2833"/>
      <c r="AD2833"/>
    </row>
    <row r="2834" spans="27:30" ht="15">
      <c r="AA2834"/>
      <c r="AB2834"/>
      <c r="AC2834"/>
      <c r="AD2834"/>
    </row>
    <row r="2835" spans="27:30" ht="15">
      <c r="AA2835"/>
      <c r="AB2835"/>
      <c r="AC2835"/>
      <c r="AD2835"/>
    </row>
    <row r="2836" spans="27:30" ht="15">
      <c r="AA2836"/>
      <c r="AB2836"/>
      <c r="AC2836"/>
      <c r="AD2836"/>
    </row>
    <row r="2837" spans="27:30" ht="15">
      <c r="AA2837"/>
      <c r="AB2837"/>
      <c r="AC2837"/>
      <c r="AD2837"/>
    </row>
    <row r="2838" spans="27:30" ht="15">
      <c r="AA2838"/>
      <c r="AB2838"/>
      <c r="AC2838"/>
      <c r="AD2838"/>
    </row>
    <row r="2839" spans="27:30" ht="15">
      <c r="AA2839"/>
      <c r="AB2839"/>
      <c r="AC2839"/>
      <c r="AD2839"/>
    </row>
    <row r="2840" spans="27:30" ht="15">
      <c r="AA2840"/>
      <c r="AB2840"/>
      <c r="AC2840"/>
      <c r="AD2840"/>
    </row>
    <row r="2841" spans="27:30" ht="15">
      <c r="AA2841"/>
      <c r="AB2841"/>
      <c r="AC2841"/>
      <c r="AD2841"/>
    </row>
    <row r="2842" spans="27:30" ht="15">
      <c r="AA2842"/>
      <c r="AB2842"/>
      <c r="AC2842"/>
      <c r="AD2842"/>
    </row>
    <row r="2843" spans="27:30" ht="15">
      <c r="AA2843"/>
      <c r="AB2843"/>
      <c r="AC2843"/>
      <c r="AD2843"/>
    </row>
    <row r="2844" spans="27:30" ht="15">
      <c r="AA2844"/>
      <c r="AB2844"/>
      <c r="AC2844"/>
      <c r="AD2844"/>
    </row>
    <row r="2845" spans="27:30" ht="15">
      <c r="AA2845"/>
      <c r="AB2845"/>
      <c r="AC2845"/>
      <c r="AD2845"/>
    </row>
    <row r="2846" spans="27:30" ht="15">
      <c r="AA2846"/>
      <c r="AB2846"/>
      <c r="AC2846"/>
      <c r="AD2846"/>
    </row>
    <row r="2847" spans="27:30" ht="15">
      <c r="AA2847"/>
      <c r="AB2847"/>
      <c r="AC2847"/>
      <c r="AD2847"/>
    </row>
    <row r="2848" spans="27:30" ht="15">
      <c r="AA2848"/>
      <c r="AB2848"/>
      <c r="AC2848"/>
      <c r="AD2848"/>
    </row>
    <row r="2849" spans="27:30" ht="15">
      <c r="AA2849"/>
      <c r="AB2849"/>
      <c r="AC2849"/>
      <c r="AD2849"/>
    </row>
    <row r="2850" spans="27:30" ht="15">
      <c r="AA2850"/>
      <c r="AB2850"/>
      <c r="AC2850"/>
      <c r="AD2850"/>
    </row>
    <row r="2851" spans="27:30" ht="15">
      <c r="AA2851"/>
      <c r="AB2851"/>
      <c r="AC2851"/>
      <c r="AD2851"/>
    </row>
    <row r="2852" spans="27:30" ht="15">
      <c r="AA2852"/>
      <c r="AB2852"/>
      <c r="AC2852"/>
      <c r="AD2852"/>
    </row>
    <row r="2853" spans="27:30" ht="15">
      <c r="AA2853"/>
      <c r="AB2853"/>
      <c r="AC2853"/>
      <c r="AD2853"/>
    </row>
    <row r="2854" spans="27:30" ht="15">
      <c r="AA2854"/>
      <c r="AB2854"/>
      <c r="AC2854"/>
      <c r="AD2854"/>
    </row>
    <row r="2855" spans="27:30" ht="15">
      <c r="AA2855"/>
      <c r="AB2855"/>
      <c r="AC2855"/>
      <c r="AD2855"/>
    </row>
    <row r="2856" spans="27:30" ht="15">
      <c r="AA2856"/>
      <c r="AB2856"/>
      <c r="AC2856"/>
      <c r="AD2856"/>
    </row>
    <row r="2857" spans="27:30" ht="15">
      <c r="AA2857"/>
      <c r="AB2857"/>
      <c r="AC2857"/>
      <c r="AD2857"/>
    </row>
    <row r="2858" spans="27:30" ht="15">
      <c r="AA2858"/>
      <c r="AB2858"/>
      <c r="AC2858"/>
      <c r="AD2858"/>
    </row>
    <row r="2859" spans="27:30" ht="15">
      <c r="AA2859"/>
      <c r="AB2859"/>
      <c r="AC2859"/>
      <c r="AD2859"/>
    </row>
    <row r="2860" spans="27:30" ht="15">
      <c r="AA2860"/>
      <c r="AB2860"/>
      <c r="AC2860"/>
      <c r="AD2860"/>
    </row>
    <row r="2861" spans="27:30" ht="15">
      <c r="AA2861"/>
      <c r="AB2861"/>
      <c r="AC2861"/>
      <c r="AD2861"/>
    </row>
    <row r="2862" spans="27:30" ht="15">
      <c r="AA2862"/>
      <c r="AB2862"/>
      <c r="AC2862"/>
      <c r="AD2862"/>
    </row>
    <row r="2863" spans="27:30" ht="15">
      <c r="AA2863"/>
      <c r="AB2863"/>
      <c r="AC2863"/>
      <c r="AD2863"/>
    </row>
    <row r="2864" spans="27:30" ht="15">
      <c r="AA2864"/>
      <c r="AB2864"/>
      <c r="AC2864"/>
      <c r="AD2864"/>
    </row>
    <row r="2865" spans="27:30" ht="15">
      <c r="AA2865"/>
      <c r="AB2865"/>
      <c r="AC2865"/>
      <c r="AD2865"/>
    </row>
    <row r="2866" spans="27:30" ht="15">
      <c r="AA2866"/>
      <c r="AB2866"/>
      <c r="AC2866"/>
      <c r="AD2866"/>
    </row>
    <row r="2867" spans="27:30" ht="15">
      <c r="AA2867"/>
      <c r="AB2867"/>
      <c r="AC2867"/>
      <c r="AD2867"/>
    </row>
    <row r="2868" spans="27:30" ht="15">
      <c r="AA2868"/>
      <c r="AB2868"/>
      <c r="AC2868"/>
      <c r="AD2868"/>
    </row>
    <row r="2869" spans="27:30" ht="15">
      <c r="AA2869"/>
      <c r="AB2869"/>
      <c r="AC2869"/>
      <c r="AD2869"/>
    </row>
    <row r="2870" spans="27:30" ht="15">
      <c r="AA2870"/>
      <c r="AB2870"/>
      <c r="AC2870"/>
      <c r="AD2870"/>
    </row>
    <row r="2871" spans="27:30" ht="15">
      <c r="AA2871"/>
      <c r="AB2871"/>
      <c r="AC2871"/>
      <c r="AD2871"/>
    </row>
    <row r="2872" spans="27:30" ht="15">
      <c r="AA2872"/>
      <c r="AB2872"/>
      <c r="AC2872"/>
      <c r="AD2872"/>
    </row>
    <row r="2873" spans="27:30" ht="15">
      <c r="AA2873"/>
      <c r="AB2873"/>
      <c r="AC2873"/>
      <c r="AD2873"/>
    </row>
    <row r="2874" spans="27:30" ht="15">
      <c r="AA2874"/>
      <c r="AB2874"/>
      <c r="AC2874"/>
      <c r="AD2874"/>
    </row>
    <row r="2875" spans="27:30" ht="15">
      <c r="AA2875"/>
      <c r="AB2875"/>
      <c r="AC2875"/>
      <c r="AD2875"/>
    </row>
    <row r="2876" spans="27:30" ht="15">
      <c r="AA2876"/>
      <c r="AB2876"/>
      <c r="AC2876"/>
      <c r="AD2876"/>
    </row>
    <row r="2877" spans="27:30" ht="15">
      <c r="AA2877"/>
      <c r="AB2877"/>
      <c r="AC2877"/>
      <c r="AD2877"/>
    </row>
    <row r="2878" spans="27:30" ht="15">
      <c r="AA2878"/>
      <c r="AB2878"/>
      <c r="AC2878"/>
      <c r="AD2878"/>
    </row>
    <row r="2879" spans="27:30" ht="15">
      <c r="AA2879"/>
      <c r="AB2879"/>
      <c r="AC2879"/>
      <c r="AD2879"/>
    </row>
    <row r="2880" spans="27:30" ht="15">
      <c r="AA2880"/>
      <c r="AB2880"/>
      <c r="AC2880"/>
      <c r="AD2880"/>
    </row>
    <row r="2881" spans="27:30" ht="15">
      <c r="AA2881"/>
      <c r="AB2881"/>
      <c r="AC2881"/>
      <c r="AD2881"/>
    </row>
    <row r="2882" spans="27:30" ht="15">
      <c r="AA2882"/>
      <c r="AB2882"/>
      <c r="AC2882"/>
      <c r="AD2882"/>
    </row>
    <row r="2883" spans="27:30" ht="15">
      <c r="AA2883"/>
      <c r="AB2883"/>
      <c r="AC2883"/>
      <c r="AD2883"/>
    </row>
    <row r="2884" spans="27:30" ht="15">
      <c r="AA2884"/>
      <c r="AB2884"/>
      <c r="AC2884"/>
      <c r="AD2884"/>
    </row>
    <row r="2885" spans="27:30" ht="15">
      <c r="AA2885"/>
      <c r="AB2885"/>
      <c r="AC2885"/>
      <c r="AD2885"/>
    </row>
    <row r="2886" spans="27:30" ht="15">
      <c r="AA2886"/>
      <c r="AB2886"/>
      <c r="AC2886"/>
      <c r="AD2886"/>
    </row>
    <row r="2887" spans="27:30" ht="15">
      <c r="AA2887"/>
      <c r="AB2887"/>
      <c r="AC2887"/>
      <c r="AD2887"/>
    </row>
    <row r="2888" spans="27:30" ht="15">
      <c r="AA2888"/>
      <c r="AB2888"/>
      <c r="AC2888"/>
      <c r="AD2888"/>
    </row>
    <row r="2889" spans="27:30" ht="15">
      <c r="AA2889"/>
      <c r="AB2889"/>
      <c r="AC2889"/>
      <c r="AD2889"/>
    </row>
    <row r="2890" spans="27:30" ht="15">
      <c r="AA2890"/>
      <c r="AB2890"/>
      <c r="AC2890"/>
      <c r="AD2890"/>
    </row>
    <row r="2891" spans="27:30" ht="15">
      <c r="AA2891"/>
      <c r="AB2891"/>
      <c r="AC2891"/>
      <c r="AD2891"/>
    </row>
    <row r="2892" spans="27:30" ht="15">
      <c r="AA2892"/>
      <c r="AB2892"/>
      <c r="AC2892"/>
      <c r="AD2892"/>
    </row>
    <row r="2893" spans="27:30" ht="15">
      <c r="AA2893"/>
      <c r="AB2893"/>
      <c r="AC2893"/>
      <c r="AD2893"/>
    </row>
    <row r="2894" spans="27:30" ht="15">
      <c r="AA2894"/>
      <c r="AB2894"/>
      <c r="AC2894"/>
      <c r="AD2894"/>
    </row>
    <row r="2895" spans="27:30" ht="15">
      <c r="AA2895"/>
      <c r="AB2895"/>
      <c r="AC2895"/>
      <c r="AD2895"/>
    </row>
    <row r="2896" spans="27:30" ht="15">
      <c r="AA2896"/>
      <c r="AB2896"/>
      <c r="AC2896"/>
      <c r="AD2896"/>
    </row>
    <row r="2897" spans="27:30" ht="15">
      <c r="AA2897"/>
      <c r="AB2897"/>
      <c r="AC2897"/>
      <c r="AD2897"/>
    </row>
    <row r="2898" spans="27:30" ht="15">
      <c r="AA2898"/>
      <c r="AB2898"/>
      <c r="AC2898"/>
      <c r="AD2898"/>
    </row>
    <row r="2899" spans="27:30" ht="15">
      <c r="AA2899"/>
      <c r="AB2899"/>
      <c r="AC2899"/>
      <c r="AD2899"/>
    </row>
    <row r="2900" spans="27:30" ht="15">
      <c r="AA2900"/>
      <c r="AB2900"/>
      <c r="AC2900"/>
      <c r="AD2900"/>
    </row>
    <row r="2901" spans="27:30" ht="15">
      <c r="AA2901"/>
      <c r="AB2901"/>
      <c r="AC2901"/>
      <c r="AD2901"/>
    </row>
    <row r="2902" spans="27:30" ht="15">
      <c r="AA2902"/>
      <c r="AB2902"/>
      <c r="AC2902"/>
      <c r="AD2902"/>
    </row>
    <row r="2903" spans="27:30" ht="15">
      <c r="AA2903"/>
      <c r="AB2903"/>
      <c r="AC2903"/>
      <c r="AD2903"/>
    </row>
    <row r="2904" spans="27:30" ht="15">
      <c r="AA2904"/>
      <c r="AB2904"/>
      <c r="AC2904"/>
      <c r="AD2904"/>
    </row>
    <row r="2905" spans="27:30" ht="15">
      <c r="AA2905"/>
      <c r="AB2905"/>
      <c r="AC2905"/>
      <c r="AD2905"/>
    </row>
    <row r="2906" spans="27:30" ht="15">
      <c r="AA2906"/>
      <c r="AB2906"/>
      <c r="AC2906"/>
      <c r="AD2906"/>
    </row>
    <row r="2907" spans="27:30" ht="15">
      <c r="AA2907"/>
      <c r="AB2907"/>
      <c r="AC2907"/>
      <c r="AD2907"/>
    </row>
    <row r="2908" spans="27:30" ht="15">
      <c r="AA2908"/>
      <c r="AB2908"/>
      <c r="AC2908"/>
      <c r="AD2908"/>
    </row>
    <row r="2909" spans="27:30" ht="15">
      <c r="AA2909"/>
      <c r="AB2909"/>
      <c r="AC2909"/>
      <c r="AD2909"/>
    </row>
    <row r="2910" spans="27:30" ht="15">
      <c r="AA2910"/>
      <c r="AB2910"/>
      <c r="AC2910"/>
      <c r="AD2910"/>
    </row>
    <row r="2911" spans="27:30" ht="15">
      <c r="AA2911"/>
      <c r="AB2911"/>
      <c r="AC2911"/>
      <c r="AD2911"/>
    </row>
    <row r="2912" spans="27:30" ht="15">
      <c r="AA2912"/>
      <c r="AB2912"/>
      <c r="AC2912"/>
      <c r="AD2912"/>
    </row>
    <row r="2913" spans="27:30" ht="15">
      <c r="AA2913"/>
      <c r="AB2913"/>
      <c r="AC2913"/>
      <c r="AD2913"/>
    </row>
    <row r="2914" spans="27:30" ht="15">
      <c r="AA2914"/>
      <c r="AB2914"/>
      <c r="AC2914"/>
      <c r="AD2914"/>
    </row>
    <row r="2915" spans="27:30" ht="15">
      <c r="AA2915"/>
      <c r="AB2915"/>
      <c r="AC2915"/>
      <c r="AD2915"/>
    </row>
    <row r="2916" spans="27:30" ht="15">
      <c r="AA2916"/>
      <c r="AB2916"/>
      <c r="AC2916"/>
      <c r="AD2916"/>
    </row>
    <row r="2917" spans="27:30" ht="15">
      <c r="AA2917"/>
      <c r="AB2917"/>
      <c r="AC2917"/>
      <c r="AD2917"/>
    </row>
    <row r="2918" spans="27:30" ht="15">
      <c r="AA2918"/>
      <c r="AB2918"/>
      <c r="AC2918"/>
      <c r="AD2918"/>
    </row>
    <row r="2919" spans="27:30" ht="15">
      <c r="AA2919"/>
      <c r="AB2919"/>
      <c r="AC2919"/>
      <c r="AD2919"/>
    </row>
    <row r="2920" spans="27:30" ht="15">
      <c r="AA2920"/>
      <c r="AB2920"/>
      <c r="AC2920"/>
      <c r="AD2920"/>
    </row>
    <row r="2921" spans="27:30" ht="15">
      <c r="AA2921"/>
      <c r="AB2921"/>
      <c r="AC2921"/>
      <c r="AD2921"/>
    </row>
    <row r="2922" spans="27:30" ht="15">
      <c r="AA2922"/>
      <c r="AB2922"/>
      <c r="AC2922"/>
      <c r="AD2922"/>
    </row>
    <row r="2923" spans="27:30" ht="15">
      <c r="AA2923"/>
      <c r="AB2923"/>
      <c r="AC2923"/>
      <c r="AD2923"/>
    </row>
    <row r="2924" spans="27:30" ht="15">
      <c r="AA2924"/>
      <c r="AB2924"/>
      <c r="AC2924"/>
      <c r="AD2924"/>
    </row>
    <row r="2925" spans="27:30" ht="15">
      <c r="AA2925"/>
      <c r="AB2925"/>
      <c r="AC2925"/>
      <c r="AD2925"/>
    </row>
    <row r="2926" spans="27:30" ht="15">
      <c r="AA2926"/>
      <c r="AB2926"/>
      <c r="AC2926"/>
      <c r="AD2926"/>
    </row>
    <row r="2927" spans="27:30" ht="15">
      <c r="AA2927"/>
      <c r="AB2927"/>
      <c r="AC2927"/>
      <c r="AD2927"/>
    </row>
    <row r="2928" spans="27:30" ht="15">
      <c r="AA2928"/>
      <c r="AB2928"/>
      <c r="AC2928"/>
      <c r="AD2928"/>
    </row>
    <row r="2929" spans="27:30" ht="15">
      <c r="AA2929"/>
      <c r="AB2929"/>
      <c r="AC2929"/>
      <c r="AD2929"/>
    </row>
    <row r="2930" spans="27:30" ht="15">
      <c r="AA2930"/>
      <c r="AB2930"/>
      <c r="AC2930"/>
      <c r="AD2930"/>
    </row>
    <row r="2931" spans="27:30" ht="15">
      <c r="AA2931"/>
      <c r="AB2931"/>
      <c r="AC2931"/>
      <c r="AD2931"/>
    </row>
    <row r="2932" spans="27:30" ht="15">
      <c r="AA2932"/>
      <c r="AB2932"/>
      <c r="AC2932"/>
      <c r="AD2932"/>
    </row>
    <row r="2933" spans="27:30" ht="15">
      <c r="AA2933"/>
      <c r="AB2933"/>
      <c r="AC2933"/>
      <c r="AD2933"/>
    </row>
    <row r="2934" spans="27:30" ht="15">
      <c r="AA2934"/>
      <c r="AB2934"/>
      <c r="AC2934"/>
      <c r="AD2934"/>
    </row>
    <row r="2935" spans="27:30" ht="15">
      <c r="AA2935"/>
      <c r="AB2935"/>
      <c r="AC2935"/>
      <c r="AD2935"/>
    </row>
    <row r="2936" spans="27:30" ht="15">
      <c r="AA2936"/>
      <c r="AB2936"/>
      <c r="AC2936"/>
      <c r="AD2936"/>
    </row>
    <row r="2937" spans="27:30" ht="15">
      <c r="AA2937"/>
      <c r="AB2937"/>
      <c r="AC2937"/>
      <c r="AD2937"/>
    </row>
    <row r="2938" spans="27:30" ht="15">
      <c r="AA2938"/>
      <c r="AB2938"/>
      <c r="AC2938"/>
      <c r="AD2938"/>
    </row>
    <row r="2939" spans="27:30" ht="15">
      <c r="AA2939"/>
      <c r="AB2939"/>
      <c r="AC2939"/>
      <c r="AD2939"/>
    </row>
    <row r="2940" spans="27:30" ht="15">
      <c r="AA2940"/>
      <c r="AB2940"/>
      <c r="AC2940"/>
      <c r="AD2940"/>
    </row>
    <row r="2941" spans="27:30" ht="15">
      <c r="AA2941"/>
      <c r="AB2941"/>
      <c r="AC2941"/>
      <c r="AD2941"/>
    </row>
    <row r="2942" spans="27:30" ht="15">
      <c r="AA2942"/>
      <c r="AB2942"/>
      <c r="AC2942"/>
      <c r="AD2942"/>
    </row>
    <row r="2943" spans="27:30" ht="15">
      <c r="AA2943"/>
      <c r="AB2943"/>
      <c r="AC2943"/>
      <c r="AD2943"/>
    </row>
    <row r="2944" spans="27:30" ht="15">
      <c r="AA2944"/>
      <c r="AB2944"/>
      <c r="AC2944"/>
      <c r="AD2944"/>
    </row>
    <row r="2945" spans="27:30" ht="15">
      <c r="AA2945"/>
      <c r="AB2945"/>
      <c r="AC2945"/>
      <c r="AD2945"/>
    </row>
    <row r="2946" spans="27:30" ht="15">
      <c r="AA2946"/>
      <c r="AB2946"/>
      <c r="AC2946"/>
      <c r="AD2946"/>
    </row>
    <row r="2947" spans="27:30" ht="15">
      <c r="AA2947"/>
      <c r="AB2947"/>
      <c r="AC2947"/>
      <c r="AD2947"/>
    </row>
    <row r="2948" spans="27:30" ht="15">
      <c r="AA2948"/>
      <c r="AB2948"/>
      <c r="AC2948"/>
      <c r="AD2948"/>
    </row>
    <row r="2949" spans="27:30" ht="15">
      <c r="AA2949"/>
      <c r="AB2949"/>
      <c r="AC2949"/>
      <c r="AD2949"/>
    </row>
    <row r="2950" spans="27:30" ht="15">
      <c r="AA2950"/>
      <c r="AB2950"/>
      <c r="AC2950"/>
      <c r="AD2950"/>
    </row>
    <row r="2951" spans="27:30" ht="15">
      <c r="AA2951"/>
      <c r="AB2951"/>
      <c r="AC2951"/>
      <c r="AD2951"/>
    </row>
    <row r="2952" spans="27:30" ht="15">
      <c r="AA2952"/>
      <c r="AB2952"/>
      <c r="AC2952"/>
      <c r="AD2952"/>
    </row>
    <row r="2953" spans="27:30" ht="15">
      <c r="AA2953"/>
      <c r="AB2953"/>
      <c r="AC2953"/>
      <c r="AD2953"/>
    </row>
    <row r="2954" spans="27:30" ht="15">
      <c r="AA2954"/>
      <c r="AB2954"/>
      <c r="AC2954"/>
      <c r="AD2954"/>
    </row>
    <row r="2955" spans="27:30" ht="15">
      <c r="AA2955"/>
      <c r="AB2955"/>
      <c r="AC2955"/>
      <c r="AD2955"/>
    </row>
    <row r="2956" spans="27:30" ht="15">
      <c r="AA2956"/>
      <c r="AB2956"/>
      <c r="AC2956"/>
      <c r="AD2956"/>
    </row>
    <row r="2957" spans="27:30" ht="15">
      <c r="AA2957"/>
      <c r="AB2957"/>
      <c r="AC2957"/>
      <c r="AD2957"/>
    </row>
    <row r="2958" spans="27:30" ht="15">
      <c r="AA2958"/>
      <c r="AB2958"/>
      <c r="AC2958"/>
      <c r="AD2958"/>
    </row>
    <row r="2959" spans="27:30" ht="15">
      <c r="AA2959"/>
      <c r="AB2959"/>
      <c r="AC2959"/>
      <c r="AD2959"/>
    </row>
    <row r="2960" spans="27:30" ht="15">
      <c r="AA2960"/>
      <c r="AB2960"/>
      <c r="AC2960"/>
      <c r="AD2960"/>
    </row>
    <row r="2961" spans="27:30" ht="15">
      <c r="AA2961"/>
      <c r="AB2961"/>
      <c r="AC2961"/>
      <c r="AD2961"/>
    </row>
    <row r="2962" spans="27:30" ht="15">
      <c r="AA2962"/>
      <c r="AB2962"/>
      <c r="AC2962"/>
      <c r="AD2962"/>
    </row>
    <row r="2963" spans="27:30" ht="15">
      <c r="AA2963"/>
      <c r="AB2963"/>
      <c r="AC2963"/>
      <c r="AD2963"/>
    </row>
    <row r="2964" spans="27:30" ht="15">
      <c r="AA2964"/>
      <c r="AB2964"/>
      <c r="AC2964"/>
      <c r="AD2964"/>
    </row>
    <row r="2965" spans="27:30" ht="15">
      <c r="AA2965"/>
      <c r="AB2965"/>
      <c r="AC2965"/>
      <c r="AD2965"/>
    </row>
    <row r="2966" spans="27:30" ht="15">
      <c r="AA2966"/>
      <c r="AB2966"/>
      <c r="AC2966"/>
      <c r="AD2966"/>
    </row>
    <row r="2967" spans="27:30" ht="15">
      <c r="AA2967"/>
      <c r="AB2967"/>
      <c r="AC2967"/>
      <c r="AD2967"/>
    </row>
    <row r="2968" spans="27:30" ht="15">
      <c r="AA2968"/>
      <c r="AB2968"/>
      <c r="AC2968"/>
      <c r="AD2968"/>
    </row>
    <row r="2969" spans="27:30" ht="15">
      <c r="AA2969"/>
      <c r="AB2969"/>
      <c r="AC2969"/>
      <c r="AD2969"/>
    </row>
    <row r="2970" spans="27:30" ht="15">
      <c r="AA2970"/>
      <c r="AB2970"/>
      <c r="AC2970"/>
      <c r="AD2970"/>
    </row>
    <row r="2971" spans="27:30" ht="15">
      <c r="AA2971"/>
      <c r="AB2971"/>
      <c r="AC2971"/>
      <c r="AD2971"/>
    </row>
    <row r="2972" spans="27:30" ht="15">
      <c r="AA2972"/>
      <c r="AB2972"/>
      <c r="AC2972"/>
      <c r="AD2972"/>
    </row>
    <row r="2973" spans="27:30" ht="15">
      <c r="AA2973"/>
      <c r="AB2973"/>
      <c r="AC2973"/>
      <c r="AD2973"/>
    </row>
    <row r="2974" spans="27:30" ht="15">
      <c r="AA2974"/>
      <c r="AB2974"/>
      <c r="AC2974"/>
      <c r="AD2974"/>
    </row>
    <row r="2975" spans="27:30" ht="15">
      <c r="AA2975"/>
      <c r="AB2975"/>
      <c r="AC2975"/>
      <c r="AD2975"/>
    </row>
    <row r="2976" spans="27:30" ht="15">
      <c r="AA2976"/>
      <c r="AB2976"/>
      <c r="AC2976"/>
      <c r="AD2976"/>
    </row>
    <row r="2977" spans="27:30" ht="15">
      <c r="AA2977"/>
      <c r="AB2977"/>
      <c r="AC2977"/>
      <c r="AD2977"/>
    </row>
    <row r="2978" spans="27:30" ht="15">
      <c r="AA2978"/>
      <c r="AB2978"/>
      <c r="AC2978"/>
      <c r="AD2978"/>
    </row>
    <row r="2979" spans="27:30" ht="15">
      <c r="AA2979"/>
      <c r="AB2979"/>
      <c r="AC2979"/>
      <c r="AD2979"/>
    </row>
    <row r="2980" spans="27:30" ht="15">
      <c r="AA2980"/>
      <c r="AB2980"/>
      <c r="AC2980"/>
      <c r="AD2980"/>
    </row>
    <row r="2981" spans="27:30" ht="15">
      <c r="AA2981"/>
      <c r="AB2981"/>
      <c r="AC2981"/>
      <c r="AD2981"/>
    </row>
    <row r="2982" spans="27:30" ht="15">
      <c r="AA2982"/>
      <c r="AB2982"/>
      <c r="AC2982"/>
      <c r="AD2982"/>
    </row>
    <row r="2983" spans="27:30" ht="15">
      <c r="AA2983"/>
      <c r="AB2983"/>
      <c r="AC2983"/>
      <c r="AD2983"/>
    </row>
    <row r="2984" spans="27:30" ht="15">
      <c r="AA2984"/>
      <c r="AB2984"/>
      <c r="AC2984"/>
      <c r="AD2984"/>
    </row>
    <row r="2985" spans="27:30" ht="15">
      <c r="AA2985"/>
      <c r="AB2985"/>
      <c r="AC2985"/>
      <c r="AD2985"/>
    </row>
    <row r="2986" spans="27:30" ht="15">
      <c r="AA2986"/>
      <c r="AB2986"/>
      <c r="AC2986"/>
      <c r="AD2986"/>
    </row>
    <row r="2987" spans="27:30" ht="15">
      <c r="AA2987"/>
      <c r="AB2987"/>
      <c r="AC2987"/>
      <c r="AD2987"/>
    </row>
    <row r="2988" spans="27:30" ht="15">
      <c r="AA2988"/>
      <c r="AB2988"/>
      <c r="AC2988"/>
      <c r="AD2988"/>
    </row>
    <row r="2989" spans="27:30" ht="15">
      <c r="AA2989"/>
      <c r="AB2989"/>
      <c r="AC2989"/>
      <c r="AD2989"/>
    </row>
    <row r="2990" spans="27:30" ht="15">
      <c r="AA2990"/>
      <c r="AB2990"/>
      <c r="AC2990"/>
      <c r="AD2990"/>
    </row>
    <row r="2991" spans="27:30" ht="15">
      <c r="AA2991"/>
      <c r="AB2991"/>
      <c r="AC2991"/>
      <c r="AD2991"/>
    </row>
    <row r="2992" spans="27:30" ht="15">
      <c r="AA2992"/>
      <c r="AB2992"/>
      <c r="AC2992"/>
      <c r="AD2992"/>
    </row>
    <row r="2993" spans="27:30" ht="15">
      <c r="AA2993"/>
      <c r="AB2993"/>
      <c r="AC2993"/>
      <c r="AD2993"/>
    </row>
    <row r="2994" spans="27:30" ht="15">
      <c r="AA2994"/>
      <c r="AB2994"/>
      <c r="AC2994"/>
      <c r="AD2994"/>
    </row>
    <row r="2995" spans="27:30" ht="15">
      <c r="AA2995"/>
      <c r="AB2995"/>
      <c r="AC2995"/>
      <c r="AD2995"/>
    </row>
    <row r="2996" spans="27:30" ht="15">
      <c r="AA2996"/>
      <c r="AB2996"/>
      <c r="AC2996"/>
      <c r="AD2996"/>
    </row>
    <row r="2997" spans="27:30" ht="15">
      <c r="AA2997"/>
      <c r="AB2997"/>
      <c r="AC2997"/>
      <c r="AD2997"/>
    </row>
    <row r="2998" spans="27:30" ht="15">
      <c r="AA2998"/>
      <c r="AB2998"/>
      <c r="AC2998"/>
      <c r="AD2998"/>
    </row>
    <row r="2999" spans="27:30" ht="15">
      <c r="AA2999"/>
      <c r="AB2999"/>
      <c r="AC2999"/>
      <c r="AD2999"/>
    </row>
    <row r="3000" spans="27:30" ht="15">
      <c r="AA3000"/>
      <c r="AB3000"/>
      <c r="AC3000"/>
      <c r="AD3000"/>
    </row>
    <row r="3001" spans="27:30" ht="15">
      <c r="AA3001"/>
      <c r="AB3001"/>
      <c r="AC3001"/>
      <c r="AD3001"/>
    </row>
    <row r="3002" spans="27:30" ht="15">
      <c r="AA3002"/>
      <c r="AB3002"/>
      <c r="AC3002"/>
      <c r="AD3002"/>
    </row>
    <row r="3003" spans="27:30" ht="15">
      <c r="AA3003"/>
      <c r="AB3003"/>
      <c r="AC3003"/>
      <c r="AD3003"/>
    </row>
    <row r="3004" spans="27:30" ht="15">
      <c r="AA3004"/>
      <c r="AB3004"/>
      <c r="AC3004"/>
      <c r="AD3004"/>
    </row>
    <row r="3005" spans="27:30" ht="15">
      <c r="AA3005"/>
      <c r="AB3005"/>
      <c r="AC3005"/>
      <c r="AD3005"/>
    </row>
    <row r="3006" spans="27:30" ht="15">
      <c r="AA3006"/>
      <c r="AB3006"/>
      <c r="AC3006"/>
      <c r="AD3006"/>
    </row>
    <row r="3007" spans="27:30" ht="15">
      <c r="AA3007"/>
      <c r="AB3007"/>
      <c r="AC3007"/>
      <c r="AD3007"/>
    </row>
    <row r="3008" spans="27:30" ht="15">
      <c r="AA3008"/>
      <c r="AB3008"/>
      <c r="AC3008"/>
      <c r="AD3008"/>
    </row>
    <row r="3009" spans="27:30" ht="15">
      <c r="AA3009"/>
      <c r="AB3009"/>
      <c r="AC3009"/>
      <c r="AD3009"/>
    </row>
    <row r="3010" spans="27:30" ht="15">
      <c r="AA3010"/>
      <c r="AB3010"/>
      <c r="AC3010"/>
      <c r="AD3010"/>
    </row>
    <row r="3011" spans="27:30" ht="15">
      <c r="AA3011"/>
      <c r="AB3011"/>
      <c r="AC3011"/>
      <c r="AD3011"/>
    </row>
    <row r="3012" spans="27:30" ht="15">
      <c r="AA3012"/>
      <c r="AB3012"/>
      <c r="AC3012"/>
      <c r="AD3012"/>
    </row>
    <row r="3013" spans="27:30" ht="15">
      <c r="AA3013"/>
      <c r="AB3013"/>
      <c r="AC3013"/>
      <c r="AD3013"/>
    </row>
    <row r="3014" spans="27:30" ht="15">
      <c r="AA3014"/>
      <c r="AB3014"/>
      <c r="AC3014"/>
      <c r="AD3014"/>
    </row>
    <row r="3015" spans="27:30" ht="15">
      <c r="AA3015"/>
      <c r="AB3015"/>
      <c r="AC3015"/>
      <c r="AD3015"/>
    </row>
    <row r="3016" spans="27:30" ht="15">
      <c r="AA3016"/>
      <c r="AB3016"/>
      <c r="AC3016"/>
      <c r="AD3016"/>
    </row>
    <row r="3017" spans="27:30" ht="15">
      <c r="AA3017"/>
      <c r="AB3017"/>
      <c r="AC3017"/>
      <c r="AD3017"/>
    </row>
    <row r="3018" spans="27:30" ht="15">
      <c r="AA3018"/>
      <c r="AB3018"/>
      <c r="AC3018"/>
      <c r="AD3018"/>
    </row>
    <row r="3019" spans="27:30" ht="15">
      <c r="AA3019"/>
      <c r="AB3019"/>
      <c r="AC3019"/>
      <c r="AD3019"/>
    </row>
    <row r="3020" spans="27:30" ht="15">
      <c r="AA3020"/>
      <c r="AB3020"/>
      <c r="AC3020"/>
      <c r="AD3020"/>
    </row>
    <row r="3021" spans="27:30" ht="15">
      <c r="AA3021"/>
      <c r="AB3021"/>
      <c r="AC3021"/>
      <c r="AD3021"/>
    </row>
    <row r="3022" spans="27:30" ht="15">
      <c r="AA3022"/>
      <c r="AB3022"/>
      <c r="AC3022"/>
      <c r="AD3022"/>
    </row>
    <row r="3023" spans="27:30" ht="15">
      <c r="AA3023"/>
      <c r="AB3023"/>
      <c r="AC3023"/>
      <c r="AD3023"/>
    </row>
    <row r="3024" spans="27:30" ht="15">
      <c r="AA3024"/>
      <c r="AB3024"/>
      <c r="AC3024"/>
      <c r="AD3024"/>
    </row>
    <row r="3025" spans="27:30" ht="15">
      <c r="AA3025"/>
      <c r="AB3025"/>
      <c r="AC3025"/>
      <c r="AD3025"/>
    </row>
    <row r="3026" spans="27:30" ht="15">
      <c r="AA3026"/>
      <c r="AB3026"/>
      <c r="AC3026"/>
      <c r="AD3026"/>
    </row>
    <row r="3027" spans="27:30" ht="15">
      <c r="AA3027"/>
      <c r="AB3027"/>
      <c r="AC3027"/>
      <c r="AD3027"/>
    </row>
    <row r="3028" spans="27:30" ht="15">
      <c r="AA3028"/>
      <c r="AB3028"/>
      <c r="AC3028"/>
      <c r="AD3028"/>
    </row>
    <row r="3029" spans="27:30" ht="15">
      <c r="AA3029"/>
      <c r="AB3029"/>
      <c r="AC3029"/>
      <c r="AD3029"/>
    </row>
    <row r="3030" spans="27:30" ht="15">
      <c r="AA3030"/>
      <c r="AB3030"/>
      <c r="AC3030"/>
      <c r="AD3030"/>
    </row>
    <row r="3031" spans="27:30" ht="15">
      <c r="AA3031"/>
      <c r="AB3031"/>
      <c r="AC3031"/>
      <c r="AD3031"/>
    </row>
    <row r="3032" spans="27:30" ht="15">
      <c r="AA3032"/>
      <c r="AB3032"/>
      <c r="AC3032"/>
      <c r="AD3032"/>
    </row>
    <row r="3033" spans="27:30" ht="15">
      <c r="AA3033"/>
      <c r="AB3033"/>
      <c r="AC3033"/>
      <c r="AD3033"/>
    </row>
    <row r="3034" spans="27:30" ht="15">
      <c r="AA3034"/>
      <c r="AB3034"/>
      <c r="AC3034"/>
      <c r="AD3034"/>
    </row>
    <row r="3035" spans="27:30" ht="15">
      <c r="AA3035"/>
      <c r="AB3035"/>
      <c r="AC3035"/>
      <c r="AD3035"/>
    </row>
    <row r="3036" spans="27:30" ht="15">
      <c r="AA3036"/>
      <c r="AB3036"/>
      <c r="AC3036"/>
      <c r="AD3036"/>
    </row>
    <row r="3037" spans="27:30" ht="15">
      <c r="AA3037"/>
      <c r="AB3037"/>
      <c r="AC3037"/>
      <c r="AD3037"/>
    </row>
    <row r="3038" spans="27:30" ht="15">
      <c r="AA3038"/>
      <c r="AB3038"/>
      <c r="AC3038"/>
      <c r="AD3038"/>
    </row>
    <row r="3039" spans="27:30" ht="15">
      <c r="AA3039"/>
      <c r="AB3039"/>
      <c r="AC3039"/>
      <c r="AD3039"/>
    </row>
    <row r="3040" spans="27:30" ht="15">
      <c r="AA3040"/>
      <c r="AB3040"/>
      <c r="AC3040"/>
      <c r="AD3040"/>
    </row>
    <row r="3041" spans="27:30" ht="15">
      <c r="AA3041"/>
      <c r="AB3041"/>
      <c r="AC3041"/>
      <c r="AD3041"/>
    </row>
    <row r="3042" spans="27:30" ht="15">
      <c r="AA3042"/>
      <c r="AB3042"/>
      <c r="AC3042"/>
      <c r="AD3042"/>
    </row>
    <row r="3043" spans="27:30" ht="15">
      <c r="AA3043"/>
      <c r="AB3043"/>
      <c r="AC3043"/>
      <c r="AD3043"/>
    </row>
    <row r="3044" spans="27:30" ht="15">
      <c r="AA3044"/>
      <c r="AB3044"/>
      <c r="AC3044"/>
      <c r="AD3044"/>
    </row>
    <row r="3045" spans="27:30" ht="15">
      <c r="AA3045"/>
      <c r="AB3045"/>
      <c r="AC3045"/>
      <c r="AD3045"/>
    </row>
    <row r="3046" spans="27:30" ht="15">
      <c r="AA3046"/>
      <c r="AB3046"/>
      <c r="AC3046"/>
      <c r="AD3046"/>
    </row>
    <row r="3047" spans="27:30" ht="15">
      <c r="AA3047"/>
      <c r="AB3047"/>
      <c r="AC3047"/>
      <c r="AD3047"/>
    </row>
    <row r="3048" spans="27:30" ht="15">
      <c r="AA3048"/>
      <c r="AB3048"/>
      <c r="AC3048"/>
      <c r="AD3048"/>
    </row>
    <row r="3049" spans="27:30" ht="15">
      <c r="AA3049"/>
      <c r="AB3049"/>
      <c r="AC3049"/>
      <c r="AD3049"/>
    </row>
    <row r="3050" spans="27:30" ht="15">
      <c r="AA3050"/>
      <c r="AB3050"/>
      <c r="AC3050"/>
      <c r="AD3050"/>
    </row>
    <row r="3051" spans="27:30" ht="15">
      <c r="AA3051"/>
      <c r="AB3051"/>
      <c r="AC3051"/>
      <c r="AD3051"/>
    </row>
    <row r="3052" spans="27:30" ht="15">
      <c r="AA3052"/>
      <c r="AB3052"/>
      <c r="AC3052"/>
      <c r="AD3052"/>
    </row>
    <row r="3053" spans="27:30" ht="15">
      <c r="AA3053"/>
      <c r="AB3053"/>
      <c r="AC3053"/>
      <c r="AD3053"/>
    </row>
    <row r="3054" spans="27:30" ht="15">
      <c r="AA3054"/>
      <c r="AB3054"/>
      <c r="AC3054"/>
      <c r="AD3054"/>
    </row>
    <row r="3055" spans="27:30" ht="15">
      <c r="AA3055"/>
      <c r="AB3055"/>
      <c r="AC3055"/>
      <c r="AD3055"/>
    </row>
    <row r="3056" spans="27:30" ht="15">
      <c r="AA3056"/>
      <c r="AB3056"/>
      <c r="AC3056"/>
      <c r="AD3056"/>
    </row>
    <row r="3057" spans="27:30" ht="15">
      <c r="AA3057"/>
      <c r="AB3057"/>
      <c r="AC3057"/>
      <c r="AD3057"/>
    </row>
    <row r="3058" spans="27:30" ht="15">
      <c r="AA3058"/>
      <c r="AB3058"/>
      <c r="AC3058"/>
      <c r="AD3058"/>
    </row>
    <row r="3059" spans="27:30" ht="15">
      <c r="AA3059"/>
      <c r="AB3059"/>
      <c r="AC3059"/>
      <c r="AD3059"/>
    </row>
    <row r="3060" spans="27:30" ht="15">
      <c r="AA3060"/>
      <c r="AB3060"/>
      <c r="AC3060"/>
      <c r="AD3060"/>
    </row>
    <row r="3061" spans="27:30" ht="15">
      <c r="AA3061"/>
      <c r="AB3061"/>
      <c r="AC3061"/>
      <c r="AD3061"/>
    </row>
    <row r="3062" spans="27:30" ht="15">
      <c r="AA3062"/>
      <c r="AB3062"/>
      <c r="AC3062"/>
      <c r="AD3062"/>
    </row>
    <row r="3063" spans="27:30" ht="15">
      <c r="AA3063"/>
      <c r="AB3063"/>
      <c r="AC3063"/>
      <c r="AD3063"/>
    </row>
    <row r="3064" spans="27:30" ht="15">
      <c r="AA3064"/>
      <c r="AB3064"/>
      <c r="AC3064"/>
      <c r="AD3064"/>
    </row>
    <row r="3065" spans="27:30" ht="15">
      <c r="AA3065"/>
      <c r="AB3065"/>
      <c r="AC3065"/>
      <c r="AD3065"/>
    </row>
    <row r="3066" spans="27:30" ht="15">
      <c r="AA3066"/>
      <c r="AB3066"/>
      <c r="AC3066"/>
      <c r="AD3066"/>
    </row>
    <row r="3067" spans="27:30" ht="15">
      <c r="AA3067"/>
      <c r="AB3067"/>
      <c r="AC3067"/>
      <c r="AD3067"/>
    </row>
    <row r="3068" spans="27:30" ht="15">
      <c r="AA3068"/>
      <c r="AB3068"/>
      <c r="AC3068"/>
      <c r="AD3068"/>
    </row>
    <row r="3069" spans="27:30" ht="15">
      <c r="AA3069"/>
      <c r="AB3069"/>
      <c r="AC3069"/>
      <c r="AD3069"/>
    </row>
    <row r="3070" spans="27:30" ht="15">
      <c r="AA3070"/>
      <c r="AB3070"/>
      <c r="AC3070"/>
      <c r="AD3070"/>
    </row>
    <row r="3071" spans="27:30" ht="15">
      <c r="AA3071"/>
      <c r="AB3071"/>
      <c r="AC3071"/>
      <c r="AD3071"/>
    </row>
    <row r="3072" spans="27:30" ht="15">
      <c r="AA3072"/>
      <c r="AB3072"/>
      <c r="AC3072"/>
      <c r="AD3072"/>
    </row>
    <row r="3073" spans="27:30" ht="15">
      <c r="AA3073"/>
      <c r="AB3073"/>
      <c r="AC3073"/>
      <c r="AD3073"/>
    </row>
    <row r="3074" spans="27:30" ht="15">
      <c r="AA3074"/>
      <c r="AB3074"/>
      <c r="AC3074"/>
      <c r="AD3074"/>
    </row>
    <row r="3075" spans="27:30" ht="15">
      <c r="AA3075"/>
      <c r="AB3075"/>
      <c r="AC3075"/>
      <c r="AD3075"/>
    </row>
    <row r="3076" spans="27:30" ht="15">
      <c r="AA3076"/>
      <c r="AB3076"/>
      <c r="AC3076"/>
      <c r="AD3076"/>
    </row>
    <row r="3077" spans="27:30" ht="15">
      <c r="AA3077"/>
      <c r="AB3077"/>
      <c r="AC3077"/>
      <c r="AD3077"/>
    </row>
    <row r="3078" spans="27:30" ht="15">
      <c r="AA3078"/>
      <c r="AB3078"/>
      <c r="AC3078"/>
      <c r="AD3078"/>
    </row>
    <row r="3079" spans="27:30" ht="15">
      <c r="AA3079"/>
      <c r="AB3079"/>
      <c r="AC3079"/>
      <c r="AD3079"/>
    </row>
    <row r="3080" spans="27:30" ht="15">
      <c r="AA3080"/>
      <c r="AB3080"/>
      <c r="AC3080"/>
      <c r="AD3080"/>
    </row>
    <row r="3081" spans="27:30" ht="15">
      <c r="AA3081"/>
      <c r="AB3081"/>
      <c r="AC3081"/>
      <c r="AD3081"/>
    </row>
    <row r="3082" spans="27:30" ht="15">
      <c r="AA3082"/>
      <c r="AB3082"/>
      <c r="AC3082"/>
      <c r="AD3082"/>
    </row>
    <row r="3083" spans="27:30" ht="15">
      <c r="AA3083"/>
      <c r="AB3083"/>
      <c r="AC3083"/>
      <c r="AD3083"/>
    </row>
    <row r="3084" spans="27:30" ht="15">
      <c r="AA3084"/>
      <c r="AB3084"/>
      <c r="AC3084"/>
      <c r="AD3084"/>
    </row>
    <row r="3085" spans="27:30" ht="15">
      <c r="AA3085"/>
      <c r="AB3085"/>
      <c r="AC3085"/>
      <c r="AD3085"/>
    </row>
    <row r="3086" spans="27:30" ht="15">
      <c r="AA3086"/>
      <c r="AB3086"/>
      <c r="AC3086"/>
      <c r="AD3086"/>
    </row>
    <row r="3087" spans="27:30" ht="15">
      <c r="AA3087"/>
      <c r="AB3087"/>
      <c r="AC3087"/>
      <c r="AD3087"/>
    </row>
    <row r="3088" spans="27:30" ht="15">
      <c r="AA3088"/>
      <c r="AB3088"/>
      <c r="AC3088"/>
      <c r="AD3088"/>
    </row>
    <row r="3089" spans="27:30" ht="15">
      <c r="AA3089"/>
      <c r="AB3089"/>
      <c r="AC3089"/>
      <c r="AD3089"/>
    </row>
    <row r="3090" spans="27:30" ht="15">
      <c r="AA3090"/>
      <c r="AB3090"/>
      <c r="AC3090"/>
      <c r="AD3090"/>
    </row>
    <row r="3091" spans="27:30" ht="15">
      <c r="AA3091"/>
      <c r="AB3091"/>
      <c r="AC3091"/>
      <c r="AD3091"/>
    </row>
    <row r="3092" spans="27:30" ht="15">
      <c r="AA3092"/>
      <c r="AB3092"/>
      <c r="AC3092"/>
      <c r="AD3092"/>
    </row>
    <row r="3093" spans="27:30" ht="15">
      <c r="AA3093"/>
      <c r="AB3093"/>
      <c r="AC3093"/>
      <c r="AD3093"/>
    </row>
    <row r="3094" spans="27:30" ht="15">
      <c r="AA3094"/>
      <c r="AB3094"/>
      <c r="AC3094"/>
      <c r="AD3094"/>
    </row>
    <row r="3095" spans="27:30" ht="15">
      <c r="AA3095"/>
      <c r="AB3095"/>
      <c r="AC3095"/>
      <c r="AD3095"/>
    </row>
    <row r="3096" spans="27:30" ht="15">
      <c r="AA3096"/>
      <c r="AB3096"/>
      <c r="AC3096"/>
      <c r="AD3096"/>
    </row>
    <row r="3097" spans="27:30" ht="15">
      <c r="AA3097"/>
      <c r="AB3097"/>
      <c r="AC3097"/>
      <c r="AD3097"/>
    </row>
    <row r="3098" spans="27:30" ht="15">
      <c r="AA3098"/>
      <c r="AB3098"/>
      <c r="AC3098"/>
      <c r="AD3098"/>
    </row>
    <row r="3099" spans="27:30" ht="15">
      <c r="AA3099"/>
      <c r="AB3099"/>
      <c r="AC3099"/>
      <c r="AD3099"/>
    </row>
    <row r="3100" spans="27:30" ht="15">
      <c r="AA3100"/>
      <c r="AB3100"/>
      <c r="AC3100"/>
      <c r="AD3100"/>
    </row>
    <row r="3101" spans="27:30" ht="15">
      <c r="AA3101"/>
      <c r="AB3101"/>
      <c r="AC3101"/>
      <c r="AD3101"/>
    </row>
    <row r="3102" spans="27:30" ht="15">
      <c r="AA3102"/>
      <c r="AB3102"/>
      <c r="AC3102"/>
      <c r="AD3102"/>
    </row>
    <row r="3103" spans="27:30" ht="15">
      <c r="AA3103"/>
      <c r="AB3103"/>
      <c r="AC3103"/>
      <c r="AD3103"/>
    </row>
    <row r="3104" spans="27:30" ht="15">
      <c r="AA3104"/>
      <c r="AB3104"/>
      <c r="AC3104"/>
      <c r="AD3104"/>
    </row>
    <row r="3105" spans="27:30" ht="15">
      <c r="AA3105"/>
      <c r="AB3105"/>
      <c r="AC3105"/>
      <c r="AD3105"/>
    </row>
    <row r="3106" spans="27:30" ht="15">
      <c r="AA3106"/>
      <c r="AB3106"/>
      <c r="AC3106"/>
      <c r="AD3106"/>
    </row>
    <row r="3107" spans="27:30" ht="15">
      <c r="AA3107"/>
      <c r="AB3107"/>
      <c r="AC3107"/>
      <c r="AD3107"/>
    </row>
    <row r="3108" spans="27:30" ht="15">
      <c r="AA3108"/>
      <c r="AB3108"/>
      <c r="AC3108"/>
      <c r="AD3108"/>
    </row>
    <row r="3109" spans="27:30" ht="15">
      <c r="AA3109"/>
      <c r="AB3109"/>
      <c r="AC3109"/>
      <c r="AD3109"/>
    </row>
    <row r="3110" spans="27:30" ht="15">
      <c r="AA3110"/>
      <c r="AB3110"/>
      <c r="AC3110"/>
      <c r="AD3110"/>
    </row>
    <row r="3111" spans="27:30" ht="15">
      <c r="AA3111"/>
      <c r="AB3111"/>
      <c r="AC3111"/>
      <c r="AD3111"/>
    </row>
    <row r="3112" spans="27:30" ht="15">
      <c r="AA3112"/>
      <c r="AB3112"/>
      <c r="AC3112"/>
      <c r="AD3112"/>
    </row>
    <row r="3113" spans="27:30" ht="15">
      <c r="AA3113"/>
      <c r="AB3113"/>
      <c r="AC3113"/>
      <c r="AD3113"/>
    </row>
    <row r="3114" spans="27:30" ht="15">
      <c r="AA3114"/>
      <c r="AB3114"/>
      <c r="AC3114"/>
      <c r="AD3114"/>
    </row>
    <row r="3115" spans="27:30" ht="15">
      <c r="AA3115"/>
      <c r="AB3115"/>
      <c r="AC3115"/>
      <c r="AD3115"/>
    </row>
    <row r="3116" spans="27:30" ht="15">
      <c r="AA3116"/>
      <c r="AB3116"/>
      <c r="AC3116"/>
      <c r="AD3116"/>
    </row>
    <row r="3117" spans="27:30" ht="15">
      <c r="AA3117"/>
      <c r="AB3117"/>
      <c r="AC3117"/>
      <c r="AD3117"/>
    </row>
    <row r="3118" spans="27:30" ht="15">
      <c r="AA3118"/>
      <c r="AB3118"/>
      <c r="AC3118"/>
      <c r="AD3118"/>
    </row>
    <row r="3119" spans="27:30" ht="15">
      <c r="AA3119"/>
      <c r="AB3119"/>
      <c r="AC3119"/>
      <c r="AD3119"/>
    </row>
    <row r="3120" spans="27:30" ht="15">
      <c r="AA3120"/>
      <c r="AB3120"/>
      <c r="AC3120"/>
      <c r="AD3120"/>
    </row>
    <row r="3121" spans="27:30" ht="15">
      <c r="AA3121"/>
      <c r="AB3121"/>
      <c r="AC3121"/>
      <c r="AD3121"/>
    </row>
    <row r="3122" spans="27:30" ht="15">
      <c r="AA3122"/>
      <c r="AB3122"/>
      <c r="AC3122"/>
      <c r="AD3122"/>
    </row>
    <row r="3123" spans="27:30" ht="15">
      <c r="AA3123"/>
      <c r="AB3123"/>
      <c r="AC3123"/>
      <c r="AD3123"/>
    </row>
    <row r="3124" spans="27:30" ht="15">
      <c r="AA3124"/>
      <c r="AB3124"/>
      <c r="AC3124"/>
      <c r="AD3124"/>
    </row>
    <row r="3125" spans="27:30" ht="15">
      <c r="AA3125"/>
      <c r="AB3125"/>
      <c r="AC3125"/>
      <c r="AD3125"/>
    </row>
    <row r="3126" spans="27:30" ht="15">
      <c r="AA3126"/>
      <c r="AB3126"/>
      <c r="AC3126"/>
      <c r="AD3126"/>
    </row>
    <row r="3127" spans="27:30" ht="15">
      <c r="AA3127"/>
      <c r="AB3127"/>
      <c r="AC3127"/>
      <c r="AD3127"/>
    </row>
    <row r="3128" spans="27:30" ht="15">
      <c r="AA3128"/>
      <c r="AB3128"/>
      <c r="AC3128"/>
      <c r="AD3128"/>
    </row>
    <row r="3129" spans="27:30" ht="15">
      <c r="AA3129"/>
      <c r="AB3129"/>
      <c r="AC3129"/>
      <c r="AD3129"/>
    </row>
    <row r="3130" spans="27:30" ht="15">
      <c r="AA3130"/>
      <c r="AB3130"/>
      <c r="AC3130"/>
      <c r="AD3130"/>
    </row>
    <row r="3131" spans="27:30" ht="15">
      <c r="AA3131"/>
      <c r="AB3131"/>
      <c r="AC3131"/>
      <c r="AD3131"/>
    </row>
    <row r="3132" spans="27:30" ht="15">
      <c r="AA3132"/>
      <c r="AB3132"/>
      <c r="AC3132"/>
      <c r="AD3132"/>
    </row>
    <row r="3133" spans="27:30" ht="15">
      <c r="AA3133"/>
      <c r="AB3133"/>
      <c r="AC3133"/>
      <c r="AD3133"/>
    </row>
    <row r="3134" spans="27:30" ht="15">
      <c r="AA3134"/>
      <c r="AB3134"/>
      <c r="AC3134"/>
      <c r="AD3134"/>
    </row>
    <row r="3135" spans="27:30" ht="15">
      <c r="AA3135"/>
      <c r="AB3135"/>
      <c r="AC3135"/>
      <c r="AD3135"/>
    </row>
    <row r="3136" spans="27:30" ht="15">
      <c r="AA3136"/>
      <c r="AB3136"/>
      <c r="AC3136"/>
      <c r="AD3136"/>
    </row>
    <row r="3137" spans="27:30" ht="15">
      <c r="AA3137"/>
      <c r="AB3137"/>
      <c r="AC3137"/>
      <c r="AD3137"/>
    </row>
    <row r="3138" spans="27:30" ht="15">
      <c r="AA3138"/>
      <c r="AB3138"/>
      <c r="AC3138"/>
      <c r="AD3138"/>
    </row>
    <row r="3139" spans="27:30" ht="15">
      <c r="AA3139"/>
      <c r="AB3139"/>
      <c r="AC3139"/>
      <c r="AD3139"/>
    </row>
    <row r="3140" spans="27:30" ht="15">
      <c r="AA3140"/>
      <c r="AB3140"/>
      <c r="AC3140"/>
      <c r="AD3140"/>
    </row>
    <row r="3141" spans="27:30" ht="15">
      <c r="AA3141"/>
      <c r="AB3141"/>
      <c r="AC3141"/>
      <c r="AD3141"/>
    </row>
    <row r="3142" spans="27:30" ht="15">
      <c r="AA3142"/>
      <c r="AB3142"/>
      <c r="AC3142"/>
      <c r="AD3142"/>
    </row>
    <row r="3143" spans="27:30" ht="15">
      <c r="AA3143"/>
      <c r="AB3143"/>
      <c r="AC3143"/>
      <c r="AD3143"/>
    </row>
    <row r="3144" spans="27:30" ht="15">
      <c r="AA3144"/>
      <c r="AB3144"/>
      <c r="AC3144"/>
      <c r="AD3144"/>
    </row>
    <row r="3145" spans="27:30" ht="15">
      <c r="AA3145"/>
      <c r="AB3145"/>
      <c r="AC3145"/>
      <c r="AD3145"/>
    </row>
    <row r="3146" spans="27:30" ht="15">
      <c r="AA3146"/>
      <c r="AB3146"/>
      <c r="AC3146"/>
      <c r="AD3146"/>
    </row>
    <row r="3147" spans="27:30" ht="15">
      <c r="AA3147"/>
      <c r="AB3147"/>
      <c r="AC3147"/>
      <c r="AD3147"/>
    </row>
    <row r="3148" spans="27:30" ht="15">
      <c r="AA3148"/>
      <c r="AB3148"/>
      <c r="AC3148"/>
      <c r="AD3148"/>
    </row>
    <row r="3149" spans="27:30" ht="15">
      <c r="AA3149"/>
      <c r="AB3149"/>
      <c r="AC3149"/>
      <c r="AD3149"/>
    </row>
    <row r="3150" spans="27:30" ht="15">
      <c r="AA3150"/>
      <c r="AB3150"/>
      <c r="AC3150"/>
      <c r="AD3150"/>
    </row>
    <row r="3151" spans="27:30" ht="15">
      <c r="AA3151"/>
      <c r="AB3151"/>
      <c r="AC3151"/>
      <c r="AD3151"/>
    </row>
    <row r="3152" spans="27:30" ht="15">
      <c r="AA3152"/>
      <c r="AB3152"/>
      <c r="AC3152"/>
      <c r="AD3152"/>
    </row>
    <row r="3153" spans="27:30" ht="15">
      <c r="AA3153"/>
      <c r="AB3153"/>
      <c r="AC3153"/>
      <c r="AD3153"/>
    </row>
    <row r="3154" spans="27:30" ht="15">
      <c r="AA3154"/>
      <c r="AB3154"/>
      <c r="AC3154"/>
      <c r="AD3154"/>
    </row>
    <row r="3155" spans="27:30" ht="15">
      <c r="AA3155"/>
      <c r="AB3155"/>
      <c r="AC3155"/>
      <c r="AD3155"/>
    </row>
    <row r="3156" spans="27:30" ht="15">
      <c r="AA3156"/>
      <c r="AB3156"/>
      <c r="AC3156"/>
      <c r="AD3156"/>
    </row>
    <row r="3157" spans="27:30" ht="15">
      <c r="AA3157"/>
      <c r="AB3157"/>
      <c r="AC3157"/>
      <c r="AD3157"/>
    </row>
    <row r="3158" spans="27:30" ht="15">
      <c r="AA3158"/>
      <c r="AB3158"/>
      <c r="AC3158"/>
      <c r="AD3158"/>
    </row>
    <row r="3159" spans="27:30" ht="15">
      <c r="AA3159"/>
      <c r="AB3159"/>
      <c r="AC3159"/>
      <c r="AD3159"/>
    </row>
    <row r="3160" spans="27:30" ht="15">
      <c r="AA3160"/>
      <c r="AB3160"/>
      <c r="AC3160"/>
      <c r="AD3160"/>
    </row>
    <row r="3161" spans="27:30" ht="15">
      <c r="AA3161"/>
      <c r="AB3161"/>
      <c r="AC3161"/>
      <c r="AD3161"/>
    </row>
    <row r="3162" spans="27:30" ht="15">
      <c r="AA3162"/>
      <c r="AB3162"/>
      <c r="AC3162"/>
      <c r="AD3162"/>
    </row>
    <row r="3163" spans="27:30" ht="15">
      <c r="AA3163"/>
      <c r="AB3163"/>
      <c r="AC3163"/>
      <c r="AD3163"/>
    </row>
    <row r="3164" spans="27:30" ht="15">
      <c r="AA3164"/>
      <c r="AB3164"/>
      <c r="AC3164"/>
      <c r="AD3164"/>
    </row>
    <row r="3165" spans="27:30" ht="15">
      <c r="AA3165"/>
      <c r="AB3165"/>
      <c r="AC3165"/>
      <c r="AD3165"/>
    </row>
    <row r="3166" spans="27:30" ht="15">
      <c r="AA3166"/>
      <c r="AB3166"/>
      <c r="AC3166"/>
      <c r="AD3166"/>
    </row>
    <row r="3167" spans="27:30" ht="15">
      <c r="AA3167"/>
      <c r="AB3167"/>
      <c r="AC3167"/>
      <c r="AD3167"/>
    </row>
    <row r="3168" spans="27:30" ht="15">
      <c r="AA3168"/>
      <c r="AB3168"/>
      <c r="AC3168"/>
      <c r="AD3168"/>
    </row>
    <row r="3169" spans="27:30" ht="15">
      <c r="AA3169"/>
      <c r="AB3169"/>
      <c r="AC3169"/>
      <c r="AD3169"/>
    </row>
    <row r="3170" spans="27:30" ht="15">
      <c r="AA3170"/>
      <c r="AB3170"/>
      <c r="AC3170"/>
      <c r="AD3170"/>
    </row>
    <row r="3171" spans="27:30" ht="15">
      <c r="AA3171"/>
      <c r="AB3171"/>
      <c r="AC3171"/>
      <c r="AD3171"/>
    </row>
    <row r="3172" spans="27:30" ht="15">
      <c r="AA3172"/>
      <c r="AB3172"/>
      <c r="AC3172"/>
      <c r="AD3172"/>
    </row>
    <row r="3173" spans="27:30" ht="15">
      <c r="AA3173"/>
      <c r="AB3173"/>
      <c r="AC3173"/>
      <c r="AD3173"/>
    </row>
    <row r="3174" spans="27:30" ht="15">
      <c r="AA3174"/>
      <c r="AB3174"/>
      <c r="AC3174"/>
      <c r="AD3174"/>
    </row>
    <row r="3175" spans="27:30" ht="15">
      <c r="AA3175"/>
      <c r="AB3175"/>
      <c r="AC3175"/>
      <c r="AD3175"/>
    </row>
    <row r="3176" spans="27:30" ht="15">
      <c r="AA3176"/>
      <c r="AB3176"/>
      <c r="AC3176"/>
      <c r="AD3176"/>
    </row>
    <row r="3177" spans="27:30" ht="15">
      <c r="AA3177"/>
      <c r="AB3177"/>
      <c r="AC3177"/>
      <c r="AD3177"/>
    </row>
    <row r="3178" spans="27:30" ht="15">
      <c r="AA3178"/>
      <c r="AB3178"/>
      <c r="AC3178"/>
      <c r="AD3178"/>
    </row>
    <row r="3179" spans="27:30" ht="15">
      <c r="AA3179"/>
      <c r="AB3179"/>
      <c r="AC3179"/>
      <c r="AD3179"/>
    </row>
    <row r="3180" spans="27:30" ht="15">
      <c r="AA3180"/>
      <c r="AB3180"/>
      <c r="AC3180"/>
      <c r="AD3180"/>
    </row>
    <row r="3181" spans="27:30" ht="15">
      <c r="AA3181"/>
      <c r="AB3181"/>
      <c r="AC3181"/>
      <c r="AD3181"/>
    </row>
    <row r="3182" spans="27:30" ht="15">
      <c r="AA3182"/>
      <c r="AB3182"/>
      <c r="AC3182"/>
      <c r="AD3182"/>
    </row>
    <row r="3183" spans="27:30" ht="15">
      <c r="AA3183"/>
      <c r="AB3183"/>
      <c r="AC3183"/>
      <c r="AD3183"/>
    </row>
    <row r="3184" spans="27:30" ht="15">
      <c r="AA3184"/>
      <c r="AB3184"/>
      <c r="AC3184"/>
      <c r="AD3184"/>
    </row>
    <row r="3185" spans="27:30" ht="15">
      <c r="AA3185"/>
      <c r="AB3185"/>
      <c r="AC3185"/>
      <c r="AD3185"/>
    </row>
    <row r="3186" spans="27:30" ht="15">
      <c r="AA3186"/>
      <c r="AB3186"/>
      <c r="AC3186"/>
      <c r="AD3186"/>
    </row>
    <row r="3187" spans="27:30" ht="15">
      <c r="AA3187"/>
      <c r="AB3187"/>
      <c r="AC3187"/>
      <c r="AD3187"/>
    </row>
    <row r="3188" spans="27:30" ht="15">
      <c r="AA3188"/>
      <c r="AB3188"/>
      <c r="AC3188"/>
      <c r="AD3188"/>
    </row>
    <row r="3189" spans="27:30" ht="15">
      <c r="AA3189"/>
      <c r="AB3189"/>
      <c r="AC3189"/>
      <c r="AD3189"/>
    </row>
    <row r="3190" spans="27:30" ht="15">
      <c r="AA3190"/>
      <c r="AB3190"/>
      <c r="AC3190"/>
      <c r="AD3190"/>
    </row>
    <row r="3191" spans="27:30" ht="15">
      <c r="AA3191"/>
      <c r="AB3191"/>
      <c r="AC3191"/>
      <c r="AD3191"/>
    </row>
    <row r="3192" spans="27:30" ht="15">
      <c r="AA3192"/>
      <c r="AB3192"/>
      <c r="AC3192"/>
      <c r="AD3192"/>
    </row>
    <row r="3193" spans="27:30" ht="15">
      <c r="AA3193"/>
      <c r="AB3193"/>
      <c r="AC3193"/>
      <c r="AD3193"/>
    </row>
    <row r="3194" spans="27:30" ht="15">
      <c r="AA3194"/>
      <c r="AB3194"/>
      <c r="AC3194"/>
      <c r="AD3194"/>
    </row>
    <row r="3195" spans="27:30" ht="15">
      <c r="AA3195"/>
      <c r="AB3195"/>
      <c r="AC3195"/>
      <c r="AD3195"/>
    </row>
    <row r="3196" spans="27:30" ht="15">
      <c r="AA3196"/>
      <c r="AB3196"/>
      <c r="AC3196"/>
      <c r="AD3196"/>
    </row>
    <row r="3197" spans="27:30" ht="15">
      <c r="AA3197"/>
      <c r="AB3197"/>
      <c r="AC3197"/>
      <c r="AD3197"/>
    </row>
    <row r="3198" spans="27:30" ht="15">
      <c r="AA3198"/>
      <c r="AB3198"/>
      <c r="AC3198"/>
      <c r="AD3198"/>
    </row>
    <row r="3199" spans="27:30" ht="15">
      <c r="AA3199"/>
      <c r="AB3199"/>
      <c r="AC3199"/>
      <c r="AD3199"/>
    </row>
    <row r="3200" spans="27:30" ht="15">
      <c r="AA3200"/>
      <c r="AB3200"/>
      <c r="AC3200"/>
      <c r="AD3200"/>
    </row>
    <row r="3201" spans="27:30" ht="15">
      <c r="AA3201"/>
      <c r="AB3201"/>
      <c r="AC3201"/>
      <c r="AD3201"/>
    </row>
    <row r="3202" spans="27:30" ht="15">
      <c r="AA3202"/>
      <c r="AB3202"/>
      <c r="AC3202"/>
      <c r="AD3202"/>
    </row>
    <row r="3203" spans="27:30" ht="15">
      <c r="AA3203"/>
      <c r="AB3203"/>
      <c r="AC3203"/>
      <c r="AD3203"/>
    </row>
    <row r="3204" spans="27:30" ht="15">
      <c r="AA3204"/>
      <c r="AB3204"/>
      <c r="AC3204"/>
      <c r="AD3204"/>
    </row>
    <row r="3205" spans="27:30" ht="15">
      <c r="AA3205"/>
      <c r="AB3205"/>
      <c r="AC3205"/>
      <c r="AD3205"/>
    </row>
    <row r="3206" spans="27:30" ht="15">
      <c r="AA3206"/>
      <c r="AB3206"/>
      <c r="AC3206"/>
      <c r="AD3206"/>
    </row>
    <row r="3207" spans="27:30" ht="15">
      <c r="AA3207"/>
      <c r="AB3207"/>
      <c r="AC3207"/>
      <c r="AD3207"/>
    </row>
    <row r="3208" spans="27:30" ht="15">
      <c r="AA3208"/>
      <c r="AB3208"/>
      <c r="AC3208"/>
      <c r="AD3208"/>
    </row>
    <row r="3209" spans="27:30" ht="15">
      <c r="AA3209"/>
      <c r="AB3209"/>
      <c r="AC3209"/>
      <c r="AD3209"/>
    </row>
    <row r="3210" spans="27:30" ht="15">
      <c r="AA3210"/>
      <c r="AB3210"/>
      <c r="AC3210"/>
      <c r="AD3210"/>
    </row>
    <row r="3211" spans="27:30" ht="15">
      <c r="AA3211"/>
      <c r="AB3211"/>
      <c r="AC3211"/>
      <c r="AD3211"/>
    </row>
    <row r="3212" spans="27:30" ht="15">
      <c r="AA3212"/>
      <c r="AB3212"/>
      <c r="AC3212"/>
      <c r="AD3212"/>
    </row>
    <row r="3213" spans="27:30" ht="15">
      <c r="AA3213"/>
      <c r="AB3213"/>
      <c r="AC3213"/>
      <c r="AD3213"/>
    </row>
    <row r="3214" spans="27:30" ht="15">
      <c r="AA3214"/>
      <c r="AB3214"/>
      <c r="AC3214"/>
      <c r="AD3214"/>
    </row>
    <row r="3215" spans="27:30" ht="15">
      <c r="AA3215"/>
      <c r="AB3215"/>
      <c r="AC3215"/>
      <c r="AD3215"/>
    </row>
    <row r="3216" spans="27:30" ht="15">
      <c r="AA3216"/>
      <c r="AB3216"/>
      <c r="AC3216"/>
      <c r="AD3216"/>
    </row>
    <row r="3217" spans="27:30" ht="15">
      <c r="AA3217"/>
      <c r="AB3217"/>
      <c r="AC3217"/>
      <c r="AD3217"/>
    </row>
    <row r="3218" spans="27:30" ht="15">
      <c r="AA3218"/>
      <c r="AB3218"/>
      <c r="AC3218"/>
      <c r="AD3218"/>
    </row>
    <row r="3219" spans="27:30" ht="15">
      <c r="AA3219"/>
      <c r="AB3219"/>
      <c r="AC3219"/>
      <c r="AD3219"/>
    </row>
    <row r="3220" spans="27:30" ht="15">
      <c r="AA3220"/>
      <c r="AB3220"/>
      <c r="AC3220"/>
      <c r="AD3220"/>
    </row>
    <row r="3221" spans="27:30" ht="15">
      <c r="AA3221"/>
      <c r="AB3221"/>
      <c r="AC3221"/>
      <c r="AD3221"/>
    </row>
    <row r="3222" spans="27:30" ht="15">
      <c r="AA3222"/>
      <c r="AB3222"/>
      <c r="AC3222"/>
      <c r="AD3222"/>
    </row>
    <row r="3223" spans="27:30" ht="15">
      <c r="AA3223"/>
      <c r="AB3223"/>
      <c r="AC3223"/>
      <c r="AD3223"/>
    </row>
    <row r="3224" spans="27:30" ht="15">
      <c r="AA3224"/>
      <c r="AB3224"/>
      <c r="AC3224"/>
      <c r="AD3224"/>
    </row>
    <row r="3225" spans="27:30" ht="15">
      <c r="AA3225"/>
      <c r="AB3225"/>
      <c r="AC3225"/>
      <c r="AD3225"/>
    </row>
    <row r="3226" spans="27:30" ht="15">
      <c r="AA3226"/>
      <c r="AB3226"/>
      <c r="AC3226"/>
      <c r="AD3226"/>
    </row>
    <row r="3227" spans="27:30" ht="15">
      <c r="AA3227"/>
      <c r="AB3227"/>
      <c r="AC3227"/>
      <c r="AD3227"/>
    </row>
    <row r="3228" spans="27:30" ht="15">
      <c r="AA3228"/>
      <c r="AB3228"/>
      <c r="AC3228"/>
      <c r="AD3228"/>
    </row>
    <row r="3229" spans="27:30" ht="15">
      <c r="AA3229"/>
      <c r="AB3229"/>
      <c r="AC3229"/>
      <c r="AD3229"/>
    </row>
    <row r="3230" spans="27:30" ht="15">
      <c r="AA3230"/>
      <c r="AB3230"/>
      <c r="AC3230"/>
      <c r="AD3230"/>
    </row>
    <row r="3231" spans="27:30" ht="15">
      <c r="AA3231"/>
      <c r="AB3231"/>
      <c r="AC3231"/>
      <c r="AD3231"/>
    </row>
    <row r="3232" spans="27:30" ht="15">
      <c r="AA3232"/>
      <c r="AB3232"/>
      <c r="AC3232"/>
      <c r="AD3232"/>
    </row>
    <row r="3233" spans="27:30" ht="15">
      <c r="AA3233"/>
      <c r="AB3233"/>
      <c r="AC3233"/>
      <c r="AD3233"/>
    </row>
    <row r="3234" spans="27:30" ht="15">
      <c r="AA3234"/>
      <c r="AB3234"/>
      <c r="AC3234"/>
      <c r="AD3234"/>
    </row>
    <row r="3235" spans="27:30" ht="15">
      <c r="AA3235"/>
      <c r="AB3235"/>
      <c r="AC3235"/>
      <c r="AD3235"/>
    </row>
    <row r="3236" spans="27:30" ht="15">
      <c r="AA3236"/>
      <c r="AB3236"/>
      <c r="AC3236"/>
      <c r="AD3236"/>
    </row>
    <row r="3237" spans="27:30" ht="15">
      <c r="AA3237"/>
      <c r="AB3237"/>
      <c r="AC3237"/>
      <c r="AD3237"/>
    </row>
    <row r="3238" spans="27:30" ht="15">
      <c r="AA3238"/>
      <c r="AB3238"/>
      <c r="AC3238"/>
      <c r="AD3238"/>
    </row>
    <row r="3239" spans="27:30" ht="15">
      <c r="AA3239"/>
      <c r="AB3239"/>
      <c r="AC3239"/>
      <c r="AD3239"/>
    </row>
    <row r="3240" spans="27:30" ht="15">
      <c r="AA3240"/>
      <c r="AB3240"/>
      <c r="AC3240"/>
      <c r="AD3240"/>
    </row>
    <row r="3241" spans="27:30" ht="15">
      <c r="AA3241"/>
      <c r="AB3241"/>
      <c r="AC3241"/>
      <c r="AD3241"/>
    </row>
    <row r="3242" spans="27:30" ht="15">
      <c r="AA3242"/>
      <c r="AB3242"/>
      <c r="AC3242"/>
      <c r="AD3242"/>
    </row>
    <row r="3243" spans="27:30" ht="15">
      <c r="AA3243"/>
      <c r="AB3243"/>
      <c r="AC3243"/>
      <c r="AD3243"/>
    </row>
    <row r="3244" spans="27:30" ht="15">
      <c r="AA3244"/>
      <c r="AB3244"/>
      <c r="AC3244"/>
      <c r="AD3244"/>
    </row>
    <row r="3245" spans="27:30" ht="15">
      <c r="AA3245"/>
      <c r="AB3245"/>
      <c r="AC3245"/>
      <c r="AD3245"/>
    </row>
    <row r="3246" spans="27:30" ht="15">
      <c r="AA3246"/>
      <c r="AB3246"/>
      <c r="AC3246"/>
      <c r="AD3246"/>
    </row>
    <row r="3247" spans="27:30" ht="15">
      <c r="AA3247"/>
      <c r="AB3247"/>
      <c r="AC3247"/>
      <c r="AD3247"/>
    </row>
    <row r="3248" spans="27:30" ht="15">
      <c r="AA3248"/>
      <c r="AB3248"/>
      <c r="AC3248"/>
      <c r="AD3248"/>
    </row>
    <row r="3249" spans="27:30" ht="15">
      <c r="AA3249"/>
      <c r="AB3249"/>
      <c r="AC3249"/>
      <c r="AD3249"/>
    </row>
    <row r="3250" spans="27:30" ht="15">
      <c r="AA3250"/>
      <c r="AB3250"/>
      <c r="AC3250"/>
      <c r="AD3250"/>
    </row>
    <row r="3251" spans="27:30" ht="15">
      <c r="AA3251"/>
      <c r="AB3251"/>
      <c r="AC3251"/>
      <c r="AD3251"/>
    </row>
    <row r="3252" spans="27:30" ht="15">
      <c r="AA3252"/>
      <c r="AB3252"/>
      <c r="AC3252"/>
      <c r="AD3252"/>
    </row>
    <row r="3253" spans="27:30" ht="15">
      <c r="AA3253"/>
      <c r="AB3253"/>
      <c r="AC3253"/>
      <c r="AD3253"/>
    </row>
    <row r="3254" spans="27:30" ht="15">
      <c r="AA3254"/>
      <c r="AB3254"/>
      <c r="AC3254"/>
      <c r="AD3254"/>
    </row>
    <row r="3255" spans="27:30" ht="15">
      <c r="AA3255"/>
      <c r="AB3255"/>
      <c r="AC3255"/>
      <c r="AD3255"/>
    </row>
    <row r="3256" spans="27:30" ht="15">
      <c r="AA3256"/>
      <c r="AB3256"/>
      <c r="AC3256"/>
      <c r="AD3256"/>
    </row>
    <row r="3257" spans="27:30" ht="15">
      <c r="AA3257"/>
      <c r="AB3257"/>
      <c r="AC3257"/>
      <c r="AD3257"/>
    </row>
    <row r="3258" spans="27:30" ht="15">
      <c r="AA3258"/>
      <c r="AB3258"/>
      <c r="AC3258"/>
      <c r="AD3258"/>
    </row>
    <row r="3259" spans="27:30" ht="15">
      <c r="AA3259"/>
      <c r="AB3259"/>
      <c r="AC3259"/>
      <c r="AD3259"/>
    </row>
    <row r="3260" spans="27:30" ht="15">
      <c r="AA3260"/>
      <c r="AB3260"/>
      <c r="AC3260"/>
      <c r="AD3260"/>
    </row>
    <row r="3261" spans="27:30" ht="15">
      <c r="AA3261"/>
      <c r="AB3261"/>
      <c r="AC3261"/>
      <c r="AD3261"/>
    </row>
    <row r="3262" spans="27:30" ht="15">
      <c r="AA3262"/>
      <c r="AB3262"/>
      <c r="AC3262"/>
      <c r="AD3262"/>
    </row>
    <row r="3263" spans="27:30" ht="15">
      <c r="AA3263"/>
      <c r="AB3263"/>
      <c r="AC3263"/>
      <c r="AD3263"/>
    </row>
    <row r="3264" spans="27:30" ht="15">
      <c r="AA3264"/>
      <c r="AB3264"/>
      <c r="AC3264"/>
      <c r="AD3264"/>
    </row>
    <row r="3265" spans="27:30" ht="15">
      <c r="AA3265"/>
      <c r="AB3265"/>
      <c r="AC3265"/>
      <c r="AD3265"/>
    </row>
    <row r="3266" spans="27:30" ht="15">
      <c r="AA3266"/>
      <c r="AB3266"/>
      <c r="AC3266"/>
      <c r="AD3266"/>
    </row>
    <row r="3267" spans="27:30" ht="15">
      <c r="AA3267"/>
      <c r="AB3267"/>
      <c r="AC3267"/>
      <c r="AD3267"/>
    </row>
    <row r="3268" spans="27:30" ht="15">
      <c r="AA3268"/>
      <c r="AB3268"/>
      <c r="AC3268"/>
      <c r="AD3268"/>
    </row>
    <row r="3269" spans="27:30" ht="15">
      <c r="AA3269"/>
      <c r="AB3269"/>
      <c r="AC3269"/>
      <c r="AD3269"/>
    </row>
    <row r="3270" spans="27:30" ht="15">
      <c r="AA3270"/>
      <c r="AB3270"/>
      <c r="AC3270"/>
      <c r="AD3270"/>
    </row>
    <row r="3271" spans="27:30" ht="15">
      <c r="AA3271"/>
      <c r="AB3271"/>
      <c r="AC3271"/>
      <c r="AD3271"/>
    </row>
    <row r="3272" spans="27:30" ht="15">
      <c r="AA3272"/>
      <c r="AB3272"/>
      <c r="AC3272"/>
      <c r="AD3272"/>
    </row>
    <row r="3273" spans="27:30" ht="15">
      <c r="AA3273"/>
      <c r="AB3273"/>
      <c r="AC3273"/>
      <c r="AD3273"/>
    </row>
    <row r="3274" spans="27:30" ht="15">
      <c r="AA3274"/>
      <c r="AB3274"/>
      <c r="AC3274"/>
      <c r="AD3274"/>
    </row>
    <row r="3275" spans="27:30" ht="15">
      <c r="AA3275"/>
      <c r="AB3275"/>
      <c r="AC3275"/>
      <c r="AD3275"/>
    </row>
    <row r="3276" spans="27:30" ht="15">
      <c r="AA3276"/>
      <c r="AB3276"/>
      <c r="AC3276"/>
      <c r="AD3276"/>
    </row>
    <row r="3277" spans="27:30" ht="15">
      <c r="AA3277"/>
      <c r="AB3277"/>
      <c r="AC3277"/>
      <c r="AD3277"/>
    </row>
    <row r="3278" spans="27:30" ht="15">
      <c r="AA3278"/>
      <c r="AB3278"/>
      <c r="AC3278"/>
      <c r="AD3278"/>
    </row>
    <row r="3279" spans="27:30" ht="15">
      <c r="AA3279"/>
      <c r="AB3279"/>
      <c r="AC3279"/>
      <c r="AD3279"/>
    </row>
    <row r="3280" spans="27:30" ht="15">
      <c r="AA3280"/>
      <c r="AB3280"/>
      <c r="AC3280"/>
      <c r="AD3280"/>
    </row>
    <row r="3281" spans="27:30" ht="15">
      <c r="AA3281"/>
      <c r="AB3281"/>
      <c r="AC3281"/>
      <c r="AD3281"/>
    </row>
    <row r="3282" spans="27:30" ht="15">
      <c r="AA3282"/>
      <c r="AB3282"/>
      <c r="AC3282"/>
      <c r="AD3282"/>
    </row>
    <row r="3283" spans="27:30" ht="15">
      <c r="AA3283"/>
      <c r="AB3283"/>
      <c r="AC3283"/>
      <c r="AD3283"/>
    </row>
    <row r="3284" spans="27:30" ht="15">
      <c r="AA3284"/>
      <c r="AB3284"/>
      <c r="AC3284"/>
      <c r="AD3284"/>
    </row>
    <row r="3285" spans="27:30" ht="15">
      <c r="AA3285"/>
      <c r="AB3285"/>
      <c r="AC3285"/>
      <c r="AD3285"/>
    </row>
    <row r="3286" spans="27:30" ht="15">
      <c r="AA3286"/>
      <c r="AB3286"/>
      <c r="AC3286"/>
      <c r="AD3286"/>
    </row>
    <row r="3287" spans="27:30" ht="15">
      <c r="AA3287"/>
      <c r="AB3287"/>
      <c r="AC3287"/>
      <c r="AD3287"/>
    </row>
    <row r="3288" spans="27:30" ht="15">
      <c r="AA3288"/>
      <c r="AB3288"/>
      <c r="AC3288"/>
      <c r="AD3288"/>
    </row>
    <row r="3289" spans="27:30" ht="15">
      <c r="AA3289"/>
      <c r="AB3289"/>
      <c r="AC3289"/>
      <c r="AD3289"/>
    </row>
    <row r="3290" spans="27:30" ht="15">
      <c r="AA3290"/>
      <c r="AB3290"/>
      <c r="AC3290"/>
      <c r="AD3290"/>
    </row>
    <row r="3291" spans="27:30" ht="15">
      <c r="AA3291"/>
      <c r="AB3291"/>
      <c r="AC3291"/>
      <c r="AD3291"/>
    </row>
    <row r="3292" spans="27:30" ht="15">
      <c r="AA3292"/>
      <c r="AB3292"/>
      <c r="AC3292"/>
      <c r="AD3292"/>
    </row>
    <row r="3293" spans="27:30" ht="15">
      <c r="AA3293"/>
      <c r="AB3293"/>
      <c r="AC3293"/>
      <c r="AD3293"/>
    </row>
    <row r="3294" spans="27:30" ht="15">
      <c r="AA3294"/>
      <c r="AB3294"/>
      <c r="AC3294"/>
      <c r="AD3294"/>
    </row>
    <row r="3295" spans="27:30" ht="15">
      <c r="AA3295"/>
      <c r="AB3295"/>
      <c r="AC3295"/>
      <c r="AD3295"/>
    </row>
    <row r="3296" spans="27:30" ht="15">
      <c r="AA3296"/>
      <c r="AB3296"/>
      <c r="AC3296"/>
      <c r="AD3296"/>
    </row>
    <row r="3297" spans="27:30" ht="15">
      <c r="AA3297"/>
      <c r="AB3297"/>
      <c r="AC3297"/>
      <c r="AD3297"/>
    </row>
    <row r="3298" spans="27:30" ht="15">
      <c r="AA3298"/>
      <c r="AB3298"/>
      <c r="AC3298"/>
      <c r="AD3298"/>
    </row>
    <row r="3299" spans="27:30" ht="15">
      <c r="AA3299"/>
      <c r="AB3299"/>
      <c r="AC3299"/>
      <c r="AD3299"/>
    </row>
    <row r="3300" spans="27:30" ht="15">
      <c r="AA3300"/>
      <c r="AB3300"/>
      <c r="AC3300"/>
      <c r="AD3300"/>
    </row>
    <row r="3301" spans="27:30" ht="15">
      <c r="AA3301"/>
      <c r="AB3301"/>
      <c r="AC3301"/>
      <c r="AD3301"/>
    </row>
    <row r="3302" spans="27:30" ht="15">
      <c r="AA3302"/>
      <c r="AB3302"/>
      <c r="AC3302"/>
      <c r="AD3302"/>
    </row>
    <row r="3303" spans="27:30" ht="15">
      <c r="AA3303"/>
      <c r="AB3303"/>
      <c r="AC3303"/>
      <c r="AD3303"/>
    </row>
    <row r="3304" spans="27:30" ht="15">
      <c r="AA3304"/>
      <c r="AB3304"/>
      <c r="AC3304"/>
      <c r="AD3304"/>
    </row>
    <row r="3305" spans="27:30" ht="15">
      <c r="AA3305"/>
      <c r="AB3305"/>
      <c r="AC3305"/>
      <c r="AD3305"/>
    </row>
    <row r="3306" spans="27:30" ht="15">
      <c r="AA3306"/>
      <c r="AB3306"/>
      <c r="AC3306"/>
      <c r="AD3306"/>
    </row>
    <row r="3307" spans="27:30" ht="15">
      <c r="AA3307"/>
      <c r="AB3307"/>
      <c r="AC3307"/>
      <c r="AD3307"/>
    </row>
    <row r="3308" spans="27:30" ht="15">
      <c r="AA3308"/>
      <c r="AB3308"/>
      <c r="AC3308"/>
      <c r="AD3308"/>
    </row>
    <row r="3309" spans="27:30" ht="15">
      <c r="AA3309"/>
      <c r="AB3309"/>
      <c r="AC3309"/>
      <c r="AD3309"/>
    </row>
    <row r="3310" spans="27:30" ht="15">
      <c r="AA3310"/>
      <c r="AB3310"/>
      <c r="AC3310"/>
      <c r="AD3310"/>
    </row>
    <row r="3311" spans="27:30" ht="15">
      <c r="AA3311"/>
      <c r="AB3311"/>
      <c r="AC3311"/>
      <c r="AD3311"/>
    </row>
    <row r="3312" spans="27:30" ht="15">
      <c r="AA3312"/>
      <c r="AB3312"/>
      <c r="AC3312"/>
      <c r="AD3312"/>
    </row>
    <row r="3313" spans="27:30" ht="15">
      <c r="AA3313"/>
      <c r="AB3313"/>
      <c r="AC3313"/>
      <c r="AD3313"/>
    </row>
    <row r="3314" spans="27:30" ht="15">
      <c r="AA3314"/>
      <c r="AB3314"/>
      <c r="AC3314"/>
      <c r="AD3314"/>
    </row>
    <row r="3315" spans="27:30" ht="15">
      <c r="AA3315"/>
      <c r="AB3315"/>
      <c r="AC3315"/>
      <c r="AD3315"/>
    </row>
    <row r="3316" spans="27:30" ht="15">
      <c r="AA3316"/>
      <c r="AB3316"/>
      <c r="AC3316"/>
      <c r="AD3316"/>
    </row>
    <row r="3317" spans="27:30" ht="15">
      <c r="AA3317"/>
      <c r="AB3317"/>
      <c r="AC3317"/>
      <c r="AD3317"/>
    </row>
    <row r="3318" spans="27:30" ht="15">
      <c r="AA3318"/>
      <c r="AB3318"/>
      <c r="AC3318"/>
      <c r="AD3318"/>
    </row>
    <row r="3319" spans="27:30" ht="15">
      <c r="AA3319"/>
      <c r="AB3319"/>
      <c r="AC3319"/>
      <c r="AD3319"/>
    </row>
    <row r="3320" spans="27:30" ht="15">
      <c r="AA3320"/>
      <c r="AB3320"/>
      <c r="AC3320"/>
      <c r="AD3320"/>
    </row>
    <row r="3321" spans="27:30" ht="15">
      <c r="AA3321"/>
      <c r="AB3321"/>
      <c r="AC3321"/>
      <c r="AD3321"/>
    </row>
    <row r="3322" spans="27:30" ht="15">
      <c r="AA3322"/>
      <c r="AB3322"/>
      <c r="AC3322"/>
      <c r="AD3322"/>
    </row>
    <row r="3323" spans="27:30" ht="15">
      <c r="AA3323"/>
      <c r="AB3323"/>
      <c r="AC3323"/>
      <c r="AD3323"/>
    </row>
    <row r="3324" spans="27:30" ht="15">
      <c r="AA3324"/>
      <c r="AB3324"/>
      <c r="AC3324"/>
      <c r="AD3324"/>
    </row>
    <row r="3325" spans="27:30" ht="15">
      <c r="AA3325"/>
      <c r="AB3325"/>
      <c r="AC3325"/>
      <c r="AD3325"/>
    </row>
    <row r="3326" spans="27:30" ht="15">
      <c r="AA3326"/>
      <c r="AB3326"/>
      <c r="AC3326"/>
      <c r="AD3326"/>
    </row>
    <row r="3327" spans="27:30" ht="15">
      <c r="AA3327"/>
      <c r="AB3327"/>
      <c r="AC3327"/>
      <c r="AD3327"/>
    </row>
    <row r="3328" spans="27:30" ht="15">
      <c r="AA3328"/>
      <c r="AB3328"/>
      <c r="AC3328"/>
      <c r="AD3328"/>
    </row>
    <row r="3329" spans="27:30" ht="15">
      <c r="AA3329"/>
      <c r="AB3329"/>
      <c r="AC3329"/>
      <c r="AD3329"/>
    </row>
    <row r="3330" spans="27:30" ht="15">
      <c r="AA3330"/>
      <c r="AB3330"/>
      <c r="AC3330"/>
      <c r="AD3330"/>
    </row>
    <row r="3331" spans="27:30" ht="15">
      <c r="AA3331"/>
      <c r="AB3331"/>
      <c r="AC3331"/>
      <c r="AD3331"/>
    </row>
    <row r="3332" spans="27:30" ht="15">
      <c r="AA3332"/>
      <c r="AB3332"/>
      <c r="AC3332"/>
      <c r="AD3332"/>
    </row>
    <row r="3333" spans="27:30" ht="15">
      <c r="AA3333"/>
      <c r="AB3333"/>
      <c r="AC3333"/>
      <c r="AD3333"/>
    </row>
    <row r="3334" spans="27:30" ht="15">
      <c r="AA3334"/>
      <c r="AB3334"/>
      <c r="AC3334"/>
      <c r="AD3334"/>
    </row>
    <row r="3335" spans="27:30" ht="15">
      <c r="AA3335"/>
      <c r="AB3335"/>
      <c r="AC3335"/>
      <c r="AD3335"/>
    </row>
    <row r="3336" spans="27:30" ht="15">
      <c r="AA3336"/>
      <c r="AB3336"/>
      <c r="AC3336"/>
      <c r="AD3336"/>
    </row>
    <row r="3337" spans="27:30" ht="15">
      <c r="AA3337"/>
      <c r="AB3337"/>
      <c r="AC3337"/>
      <c r="AD3337"/>
    </row>
    <row r="3338" spans="27:30" ht="15">
      <c r="AA3338"/>
      <c r="AB3338"/>
      <c r="AC3338"/>
      <c r="AD3338"/>
    </row>
    <row r="3339" spans="27:30" ht="15">
      <c r="AA3339"/>
      <c r="AB3339"/>
      <c r="AC3339"/>
      <c r="AD3339"/>
    </row>
    <row r="3340" spans="27:30" ht="15">
      <c r="AA3340"/>
      <c r="AB3340"/>
      <c r="AC3340"/>
      <c r="AD3340"/>
    </row>
    <row r="3341" spans="27:30" ht="15">
      <c r="AA3341"/>
      <c r="AB3341"/>
      <c r="AC3341"/>
      <c r="AD3341"/>
    </row>
    <row r="3342" spans="27:30" ht="15">
      <c r="AA3342"/>
      <c r="AB3342"/>
      <c r="AC3342"/>
      <c r="AD3342"/>
    </row>
    <row r="3343" spans="27:30" ht="15">
      <c r="AA3343"/>
      <c r="AB3343"/>
      <c r="AC3343"/>
      <c r="AD3343"/>
    </row>
    <row r="3344" spans="27:30" ht="15">
      <c r="AA3344"/>
      <c r="AB3344"/>
      <c r="AC3344"/>
      <c r="AD3344"/>
    </row>
    <row r="3345" spans="27:30" ht="15">
      <c r="AA3345"/>
      <c r="AB3345"/>
      <c r="AC3345"/>
      <c r="AD3345"/>
    </row>
    <row r="3346" spans="27:30" ht="15">
      <c r="AA3346"/>
      <c r="AB3346"/>
      <c r="AC3346"/>
      <c r="AD3346"/>
    </row>
    <row r="3347" spans="27:30" ht="15">
      <c r="AA3347"/>
      <c r="AB3347"/>
      <c r="AC3347"/>
      <c r="AD3347"/>
    </row>
    <row r="3348" spans="27:30" ht="15">
      <c r="AA3348"/>
      <c r="AB3348"/>
      <c r="AC3348"/>
      <c r="AD3348"/>
    </row>
    <row r="3349" spans="27:30" ht="15">
      <c r="AA3349"/>
      <c r="AB3349"/>
      <c r="AC3349"/>
      <c r="AD3349"/>
    </row>
    <row r="3350" spans="27:30" ht="15">
      <c r="AA3350"/>
      <c r="AB3350"/>
      <c r="AC3350"/>
      <c r="AD3350"/>
    </row>
    <row r="3351" spans="27:30" ht="15">
      <c r="AA3351"/>
      <c r="AB3351"/>
      <c r="AC3351"/>
      <c r="AD3351"/>
    </row>
    <row r="3352" spans="27:30" ht="15">
      <c r="AA3352"/>
      <c r="AB3352"/>
      <c r="AC3352"/>
      <c r="AD3352"/>
    </row>
    <row r="3353" spans="27:30" ht="15">
      <c r="AA3353"/>
      <c r="AB3353"/>
      <c r="AC3353"/>
      <c r="AD3353"/>
    </row>
    <row r="3354" spans="27:30" ht="15">
      <c r="AA3354"/>
      <c r="AB3354"/>
      <c r="AC3354"/>
      <c r="AD3354"/>
    </row>
    <row r="3355" spans="27:30" ht="15">
      <c r="AA3355"/>
      <c r="AB3355"/>
      <c r="AC3355"/>
      <c r="AD3355"/>
    </row>
    <row r="3356" spans="27:30" ht="15">
      <c r="AA3356"/>
      <c r="AB3356"/>
      <c r="AC3356"/>
      <c r="AD3356"/>
    </row>
    <row r="3357" spans="27:30" ht="15">
      <c r="AA3357"/>
      <c r="AB3357"/>
      <c r="AC3357"/>
      <c r="AD3357"/>
    </row>
    <row r="3358" spans="27:30" ht="15">
      <c r="AA3358"/>
      <c r="AB3358"/>
      <c r="AC3358"/>
      <c r="AD3358"/>
    </row>
    <row r="3359" spans="27:30" ht="15">
      <c r="AA3359"/>
      <c r="AB3359"/>
      <c r="AC3359"/>
      <c r="AD3359"/>
    </row>
    <row r="3360" spans="27:30" ht="15">
      <c r="AA3360"/>
      <c r="AB3360"/>
      <c r="AC3360"/>
      <c r="AD3360"/>
    </row>
    <row r="3361" spans="27:30" ht="15">
      <c r="AA3361"/>
      <c r="AB3361"/>
      <c r="AC3361"/>
      <c r="AD3361"/>
    </row>
    <row r="3362" spans="27:30" ht="15">
      <c r="AA3362"/>
      <c r="AB3362"/>
      <c r="AC3362"/>
      <c r="AD3362"/>
    </row>
    <row r="3363" spans="27:30" ht="15">
      <c r="AA3363"/>
      <c r="AB3363"/>
      <c r="AC3363"/>
      <c r="AD3363"/>
    </row>
    <row r="3364" spans="27:30" ht="15">
      <c r="AA3364"/>
      <c r="AB3364"/>
      <c r="AC3364"/>
      <c r="AD3364"/>
    </row>
    <row r="3365" spans="27:30" ht="15">
      <c r="AA3365"/>
      <c r="AB3365"/>
      <c r="AC3365"/>
      <c r="AD3365"/>
    </row>
    <row r="3366" spans="27:30" ht="15">
      <c r="AA3366"/>
      <c r="AB3366"/>
      <c r="AC3366"/>
      <c r="AD3366"/>
    </row>
    <row r="3367" spans="27:30" ht="15">
      <c r="AA3367"/>
      <c r="AB3367"/>
      <c r="AC3367"/>
      <c r="AD3367"/>
    </row>
    <row r="3368" spans="27:30" ht="15">
      <c r="AA3368"/>
      <c r="AB3368"/>
      <c r="AC3368"/>
      <c r="AD3368"/>
    </row>
    <row r="3369" spans="27:30" ht="15">
      <c r="AA3369"/>
      <c r="AB3369"/>
      <c r="AC3369"/>
      <c r="AD3369"/>
    </row>
    <row r="3370" spans="27:30" ht="15">
      <c r="AA3370"/>
      <c r="AB3370"/>
      <c r="AC3370"/>
      <c r="AD3370"/>
    </row>
    <row r="3371" spans="27:30" ht="15">
      <c r="AA3371"/>
      <c r="AB3371"/>
      <c r="AC3371"/>
      <c r="AD3371"/>
    </row>
    <row r="3372" spans="27:30" ht="15">
      <c r="AA3372"/>
      <c r="AB3372"/>
      <c r="AC3372"/>
      <c r="AD3372"/>
    </row>
    <row r="3373" spans="27:30" ht="15">
      <c r="AA3373"/>
      <c r="AB3373"/>
      <c r="AC3373"/>
      <c r="AD3373"/>
    </row>
    <row r="3374" spans="27:30" ht="15">
      <c r="AA3374"/>
      <c r="AB3374"/>
      <c r="AC3374"/>
      <c r="AD3374"/>
    </row>
    <row r="3375" spans="27:30" ht="15">
      <c r="AA3375"/>
      <c r="AB3375"/>
      <c r="AC3375"/>
      <c r="AD3375"/>
    </row>
    <row r="3376" spans="27:30" ht="15">
      <c r="AA3376"/>
      <c r="AB3376"/>
      <c r="AC3376"/>
      <c r="AD3376"/>
    </row>
    <row r="3377" spans="27:30" ht="15">
      <c r="AA3377"/>
      <c r="AB3377"/>
      <c r="AC3377"/>
      <c r="AD3377"/>
    </row>
    <row r="3378" spans="27:30" ht="15">
      <c r="AA3378"/>
      <c r="AB3378"/>
      <c r="AC3378"/>
      <c r="AD3378"/>
    </row>
    <row r="3379" spans="27:30" ht="15">
      <c r="AA3379"/>
      <c r="AB3379"/>
      <c r="AC3379"/>
      <c r="AD3379"/>
    </row>
    <row r="3380" spans="27:30" ht="15">
      <c r="AA3380"/>
      <c r="AB3380"/>
      <c r="AC3380"/>
      <c r="AD3380"/>
    </row>
    <row r="3381" spans="27:30" ht="15">
      <c r="AA3381"/>
      <c r="AB3381"/>
      <c r="AC3381"/>
      <c r="AD3381"/>
    </row>
    <row r="3382" spans="27:30" ht="15">
      <c r="AA3382"/>
      <c r="AB3382"/>
      <c r="AC3382"/>
      <c r="AD3382"/>
    </row>
    <row r="3383" spans="27:30" ht="15">
      <c r="AA3383"/>
      <c r="AB3383"/>
      <c r="AC3383"/>
      <c r="AD3383"/>
    </row>
    <row r="3384" spans="27:30" ht="15">
      <c r="AA3384"/>
      <c r="AB3384"/>
      <c r="AC3384"/>
      <c r="AD3384"/>
    </row>
    <row r="3385" spans="27:30" ht="15">
      <c r="AA3385"/>
      <c r="AB3385"/>
      <c r="AC3385"/>
      <c r="AD3385"/>
    </row>
    <row r="3386" spans="27:30" ht="15">
      <c r="AA3386"/>
      <c r="AB3386"/>
      <c r="AC3386"/>
      <c r="AD3386"/>
    </row>
    <row r="3387" spans="27:30" ht="15">
      <c r="AA3387"/>
      <c r="AB3387"/>
      <c r="AC3387"/>
      <c r="AD3387"/>
    </row>
    <row r="3388" spans="27:30" ht="15">
      <c r="AA3388"/>
      <c r="AB3388"/>
      <c r="AC3388"/>
      <c r="AD3388"/>
    </row>
    <row r="3389" spans="27:30" ht="15">
      <c r="AA3389"/>
      <c r="AB3389"/>
      <c r="AC3389"/>
      <c r="AD3389"/>
    </row>
    <row r="3390" spans="27:30" ht="15">
      <c r="AA3390"/>
      <c r="AB3390"/>
      <c r="AC3390"/>
      <c r="AD3390"/>
    </row>
    <row r="3391" spans="27:30" ht="15">
      <c r="AA3391"/>
      <c r="AB3391"/>
      <c r="AC3391"/>
      <c r="AD3391"/>
    </row>
    <row r="3392" spans="27:30" ht="15">
      <c r="AA3392"/>
      <c r="AB3392"/>
      <c r="AC3392"/>
      <c r="AD3392"/>
    </row>
    <row r="3393" spans="27:30" ht="15">
      <c r="AA3393"/>
      <c r="AB3393"/>
      <c r="AC3393"/>
      <c r="AD3393"/>
    </row>
    <row r="3394" spans="27:30" ht="15">
      <c r="AA3394"/>
      <c r="AB3394"/>
      <c r="AC3394"/>
      <c r="AD3394"/>
    </row>
    <row r="3395" spans="27:30" ht="15">
      <c r="AA3395"/>
      <c r="AB3395"/>
      <c r="AC3395"/>
      <c r="AD3395"/>
    </row>
    <row r="3396" spans="27:30" ht="15">
      <c r="AA3396"/>
      <c r="AB3396"/>
      <c r="AC3396"/>
      <c r="AD3396"/>
    </row>
    <row r="3397" spans="27:30" ht="15">
      <c r="AA3397"/>
      <c r="AB3397"/>
      <c r="AC3397"/>
      <c r="AD3397"/>
    </row>
    <row r="3398" spans="27:30" ht="15">
      <c r="AA3398"/>
      <c r="AB3398"/>
      <c r="AC3398"/>
      <c r="AD3398"/>
    </row>
    <row r="3399" spans="27:30" ht="15">
      <c r="AA3399"/>
      <c r="AB3399"/>
      <c r="AC3399"/>
      <c r="AD3399"/>
    </row>
    <row r="3400" spans="27:30" ht="15">
      <c r="AA3400"/>
      <c r="AB3400"/>
      <c r="AC3400"/>
      <c r="AD3400"/>
    </row>
    <row r="3401" spans="27:30" ht="15">
      <c r="AA3401"/>
      <c r="AB3401"/>
      <c r="AC3401"/>
      <c r="AD3401"/>
    </row>
    <row r="3402" spans="27:30" ht="15">
      <c r="AA3402"/>
      <c r="AB3402"/>
      <c r="AC3402"/>
      <c r="AD3402"/>
    </row>
    <row r="3403" spans="27:30" ht="15">
      <c r="AA3403"/>
      <c r="AB3403"/>
      <c r="AC3403"/>
      <c r="AD3403"/>
    </row>
    <row r="3404" spans="27:30" ht="15">
      <c r="AA3404"/>
      <c r="AB3404"/>
      <c r="AC3404"/>
      <c r="AD3404"/>
    </row>
    <row r="3405" spans="27:30" ht="15">
      <c r="AA3405"/>
      <c r="AB3405"/>
      <c r="AC3405"/>
      <c r="AD3405"/>
    </row>
    <row r="3406" spans="27:30" ht="15">
      <c r="AA3406"/>
      <c r="AB3406"/>
      <c r="AC3406"/>
      <c r="AD3406"/>
    </row>
    <row r="3407" spans="27:30" ht="15">
      <c r="AA3407"/>
      <c r="AB3407"/>
      <c r="AC3407"/>
      <c r="AD3407"/>
    </row>
    <row r="3408" spans="27:30" ht="15">
      <c r="AA3408"/>
      <c r="AB3408"/>
      <c r="AC3408"/>
      <c r="AD3408"/>
    </row>
    <row r="3409" spans="27:30" ht="15">
      <c r="AA3409"/>
      <c r="AB3409"/>
      <c r="AC3409"/>
      <c r="AD3409"/>
    </row>
    <row r="3410" spans="27:30" ht="15">
      <c r="AA3410"/>
      <c r="AB3410"/>
      <c r="AC3410"/>
      <c r="AD3410"/>
    </row>
    <row r="3411" spans="27:30" ht="15">
      <c r="AA3411"/>
      <c r="AB3411"/>
      <c r="AC3411"/>
      <c r="AD3411"/>
    </row>
    <row r="3412" spans="27:30" ht="15">
      <c r="AA3412"/>
      <c r="AB3412"/>
      <c r="AC3412"/>
      <c r="AD3412"/>
    </row>
    <row r="3413" spans="27:30" ht="15">
      <c r="AA3413"/>
      <c r="AB3413"/>
      <c r="AC3413"/>
      <c r="AD3413"/>
    </row>
    <row r="3414" spans="27:30" ht="15">
      <c r="AA3414"/>
      <c r="AB3414"/>
      <c r="AC3414"/>
      <c r="AD3414"/>
    </row>
    <row r="3415" spans="27:30" ht="15">
      <c r="AA3415"/>
      <c r="AB3415"/>
      <c r="AC3415"/>
      <c r="AD3415"/>
    </row>
    <row r="3416" spans="27:30" ht="15">
      <c r="AA3416"/>
      <c r="AB3416"/>
      <c r="AC3416"/>
      <c r="AD3416"/>
    </row>
    <row r="3417" spans="27:30" ht="15">
      <c r="AA3417"/>
      <c r="AB3417"/>
      <c r="AC3417"/>
      <c r="AD3417"/>
    </row>
    <row r="3418" spans="27:30" ht="15">
      <c r="AA3418"/>
      <c r="AB3418"/>
      <c r="AC3418"/>
      <c r="AD3418"/>
    </row>
    <row r="3419" spans="27:30" ht="15">
      <c r="AA3419"/>
      <c r="AB3419"/>
      <c r="AC3419"/>
      <c r="AD3419"/>
    </row>
    <row r="3420" spans="27:30" ht="15">
      <c r="AA3420"/>
      <c r="AB3420"/>
      <c r="AC3420"/>
      <c r="AD3420"/>
    </row>
    <row r="3421" spans="27:30" ht="15">
      <c r="AA3421"/>
      <c r="AB3421"/>
      <c r="AC3421"/>
      <c r="AD3421"/>
    </row>
    <row r="3422" spans="27:30" ht="15">
      <c r="AA3422"/>
      <c r="AB3422"/>
      <c r="AC3422"/>
      <c r="AD3422"/>
    </row>
    <row r="3423" spans="27:30" ht="15">
      <c r="AA3423"/>
      <c r="AB3423"/>
      <c r="AC3423"/>
      <c r="AD3423"/>
    </row>
    <row r="3424" spans="27:30" ht="15">
      <c r="AA3424"/>
      <c r="AB3424"/>
      <c r="AC3424"/>
      <c r="AD3424"/>
    </row>
    <row r="3425" spans="27:30" ht="15">
      <c r="AA3425"/>
      <c r="AB3425"/>
      <c r="AC3425"/>
      <c r="AD3425"/>
    </row>
    <row r="3426" spans="27:30" ht="15">
      <c r="AA3426"/>
      <c r="AB3426"/>
      <c r="AC3426"/>
      <c r="AD3426"/>
    </row>
    <row r="3427" spans="27:30" ht="15">
      <c r="AA3427"/>
      <c r="AB3427"/>
      <c r="AC3427"/>
      <c r="AD3427"/>
    </row>
    <row r="3428" spans="27:30" ht="15">
      <c r="AA3428"/>
      <c r="AB3428"/>
      <c r="AC3428"/>
      <c r="AD3428"/>
    </row>
    <row r="3429" spans="27:30" ht="15">
      <c r="AA3429"/>
      <c r="AB3429"/>
      <c r="AC3429"/>
      <c r="AD3429"/>
    </row>
    <row r="3430" spans="27:30" ht="15">
      <c r="AA3430"/>
      <c r="AB3430"/>
      <c r="AC3430"/>
      <c r="AD3430"/>
    </row>
    <row r="3431" spans="27:30" ht="15">
      <c r="AA3431"/>
      <c r="AB3431"/>
      <c r="AC3431"/>
      <c r="AD3431"/>
    </row>
    <row r="3432" spans="27:30" ht="15">
      <c r="AA3432"/>
      <c r="AB3432"/>
      <c r="AC3432"/>
      <c r="AD3432"/>
    </row>
    <row r="3433" spans="27:30" ht="15">
      <c r="AA3433"/>
      <c r="AB3433"/>
      <c r="AC3433"/>
      <c r="AD3433"/>
    </row>
    <row r="3434" spans="27:30" ht="15">
      <c r="AA3434"/>
      <c r="AB3434"/>
      <c r="AC3434"/>
      <c r="AD3434"/>
    </row>
    <row r="3435" spans="27:30" ht="15">
      <c r="AA3435"/>
      <c r="AB3435"/>
      <c r="AC3435"/>
      <c r="AD3435"/>
    </row>
    <row r="3436" spans="27:30" ht="15">
      <c r="AA3436"/>
      <c r="AB3436"/>
      <c r="AC3436"/>
      <c r="AD3436"/>
    </row>
    <row r="3437" spans="27:30" ht="15">
      <c r="AA3437"/>
      <c r="AB3437"/>
      <c r="AC3437"/>
      <c r="AD3437"/>
    </row>
    <row r="3438" spans="27:30" ht="15">
      <c r="AA3438"/>
      <c r="AB3438"/>
      <c r="AC3438"/>
      <c r="AD3438"/>
    </row>
    <row r="3439" spans="27:30" ht="15">
      <c r="AA3439"/>
      <c r="AB3439"/>
      <c r="AC3439"/>
      <c r="AD3439"/>
    </row>
    <row r="3440" spans="27:30" ht="15">
      <c r="AA3440"/>
      <c r="AB3440"/>
      <c r="AC3440"/>
      <c r="AD3440"/>
    </row>
    <row r="3441" spans="27:30" ht="15">
      <c r="AA3441"/>
      <c r="AB3441"/>
      <c r="AC3441"/>
      <c r="AD3441"/>
    </row>
    <row r="3442" spans="27:30" ht="15">
      <c r="AA3442"/>
      <c r="AB3442"/>
      <c r="AC3442"/>
      <c r="AD3442"/>
    </row>
    <row r="3443" spans="27:30" ht="15">
      <c r="AA3443"/>
      <c r="AB3443"/>
      <c r="AC3443"/>
      <c r="AD3443"/>
    </row>
    <row r="3444" spans="27:30" ht="15">
      <c r="AA3444"/>
      <c r="AB3444"/>
      <c r="AC3444"/>
      <c r="AD3444"/>
    </row>
    <row r="3445" spans="27:30" ht="15">
      <c r="AA3445"/>
      <c r="AB3445"/>
      <c r="AC3445"/>
      <c r="AD3445"/>
    </row>
    <row r="3446" spans="27:30" ht="15">
      <c r="AA3446"/>
      <c r="AB3446"/>
      <c r="AC3446"/>
      <c r="AD3446"/>
    </row>
    <row r="3447" spans="27:30" ht="15">
      <c r="AA3447"/>
      <c r="AB3447"/>
      <c r="AC3447"/>
      <c r="AD3447"/>
    </row>
    <row r="3448" spans="27:30" ht="15">
      <c r="AA3448"/>
      <c r="AB3448"/>
      <c r="AC3448"/>
      <c r="AD3448"/>
    </row>
    <row r="3449" spans="27:30" ht="15">
      <c r="AA3449"/>
      <c r="AB3449"/>
      <c r="AC3449"/>
      <c r="AD3449"/>
    </row>
    <row r="3450" spans="27:30" ht="15">
      <c r="AA3450"/>
      <c r="AB3450"/>
      <c r="AC3450"/>
      <c r="AD3450"/>
    </row>
    <row r="3451" spans="27:30" ht="15">
      <c r="AA3451"/>
      <c r="AB3451"/>
      <c r="AC3451"/>
      <c r="AD3451"/>
    </row>
    <row r="3452" spans="27:30" ht="15">
      <c r="AA3452"/>
      <c r="AB3452"/>
      <c r="AC3452"/>
      <c r="AD3452"/>
    </row>
    <row r="3453" spans="27:30" ht="15">
      <c r="AA3453"/>
      <c r="AB3453"/>
      <c r="AC3453"/>
      <c r="AD3453"/>
    </row>
    <row r="3454" spans="27:30" ht="15">
      <c r="AA3454"/>
      <c r="AB3454"/>
      <c r="AC3454"/>
      <c r="AD3454"/>
    </row>
    <row r="3455" spans="27:30" ht="15">
      <c r="AA3455"/>
      <c r="AB3455"/>
      <c r="AC3455"/>
      <c r="AD3455"/>
    </row>
    <row r="3456" spans="27:30" ht="15">
      <c r="AA3456"/>
      <c r="AB3456"/>
      <c r="AC3456"/>
      <c r="AD3456"/>
    </row>
    <row r="3457" spans="27:30" ht="15">
      <c r="AA3457"/>
      <c r="AB3457"/>
      <c r="AC3457"/>
      <c r="AD3457"/>
    </row>
    <row r="3458" spans="27:30" ht="15">
      <c r="AA3458"/>
      <c r="AB3458"/>
      <c r="AC3458"/>
      <c r="AD3458"/>
    </row>
    <row r="3459" spans="27:30" ht="15">
      <c r="AA3459"/>
      <c r="AB3459"/>
      <c r="AC3459"/>
      <c r="AD3459"/>
    </row>
    <row r="3460" spans="27:30" ht="15">
      <c r="AA3460"/>
      <c r="AB3460"/>
      <c r="AC3460"/>
      <c r="AD3460"/>
    </row>
    <row r="3461" spans="27:30" ht="15">
      <c r="AA3461"/>
      <c r="AB3461"/>
      <c r="AC3461"/>
      <c r="AD3461"/>
    </row>
    <row r="3462" spans="27:30" ht="15">
      <c r="AA3462"/>
      <c r="AB3462"/>
      <c r="AC3462"/>
      <c r="AD3462"/>
    </row>
    <row r="3463" spans="27:30" ht="15">
      <c r="AA3463"/>
      <c r="AB3463"/>
      <c r="AC3463"/>
      <c r="AD3463"/>
    </row>
    <row r="3464" spans="27:30" ht="15">
      <c r="AA3464"/>
      <c r="AB3464"/>
      <c r="AC3464"/>
      <c r="AD3464"/>
    </row>
    <row r="3465" spans="27:30" ht="15">
      <c r="AA3465"/>
      <c r="AB3465"/>
      <c r="AC3465"/>
      <c r="AD3465"/>
    </row>
    <row r="3466" spans="27:30" ht="15">
      <c r="AA3466"/>
      <c r="AB3466"/>
      <c r="AC3466"/>
      <c r="AD3466"/>
    </row>
    <row r="3467" spans="27:30" ht="15">
      <c r="AA3467"/>
      <c r="AB3467"/>
      <c r="AC3467"/>
      <c r="AD3467"/>
    </row>
    <row r="3468" spans="27:30" ht="15">
      <c r="AA3468"/>
      <c r="AB3468"/>
      <c r="AC3468"/>
      <c r="AD3468"/>
    </row>
    <row r="3469" spans="27:30" ht="15">
      <c r="AA3469"/>
      <c r="AB3469"/>
      <c r="AC3469"/>
      <c r="AD3469"/>
    </row>
    <row r="3470" spans="27:30" ht="15">
      <c r="AA3470"/>
      <c r="AB3470"/>
      <c r="AC3470"/>
      <c r="AD3470"/>
    </row>
    <row r="3471" spans="27:30" ht="15">
      <c r="AA3471"/>
      <c r="AB3471"/>
      <c r="AC3471"/>
      <c r="AD3471"/>
    </row>
    <row r="3472" spans="27:30" ht="15">
      <c r="AA3472"/>
      <c r="AB3472"/>
      <c r="AC3472"/>
      <c r="AD3472"/>
    </row>
    <row r="3473" spans="27:30" ht="15">
      <c r="AA3473"/>
      <c r="AB3473"/>
      <c r="AC3473"/>
      <c r="AD3473"/>
    </row>
    <row r="3474" spans="27:30" ht="15">
      <c r="AA3474"/>
      <c r="AB3474"/>
      <c r="AC3474"/>
      <c r="AD3474"/>
    </row>
    <row r="3475" spans="27:30" ht="15">
      <c r="AA3475"/>
      <c r="AB3475"/>
      <c r="AC3475"/>
      <c r="AD3475"/>
    </row>
    <row r="3476" spans="27:30" ht="15">
      <c r="AA3476"/>
      <c r="AB3476"/>
      <c r="AC3476"/>
      <c r="AD3476"/>
    </row>
    <row r="3477" spans="27:30" ht="15">
      <c r="AA3477"/>
      <c r="AB3477"/>
      <c r="AC3477"/>
      <c r="AD3477"/>
    </row>
    <row r="3478" spans="27:30" ht="15">
      <c r="AA3478"/>
      <c r="AB3478"/>
      <c r="AC3478"/>
      <c r="AD3478"/>
    </row>
    <row r="3479" spans="27:30" ht="15">
      <c r="AA3479"/>
      <c r="AB3479"/>
      <c r="AC3479"/>
      <c r="AD3479"/>
    </row>
    <row r="3480" spans="27:30" ht="15">
      <c r="AA3480"/>
      <c r="AB3480"/>
      <c r="AC3480"/>
      <c r="AD3480"/>
    </row>
    <row r="3481" spans="27:30" ht="15">
      <c r="AA3481"/>
      <c r="AB3481"/>
      <c r="AC3481"/>
      <c r="AD3481"/>
    </row>
    <row r="3482" spans="27:30" ht="15">
      <c r="AA3482"/>
      <c r="AB3482"/>
      <c r="AC3482"/>
      <c r="AD3482"/>
    </row>
    <row r="3483" spans="27:30" ht="15">
      <c r="AA3483"/>
      <c r="AB3483"/>
      <c r="AC3483"/>
      <c r="AD3483"/>
    </row>
    <row r="3484" spans="27:30" ht="15">
      <c r="AA3484"/>
      <c r="AB3484"/>
      <c r="AC3484"/>
      <c r="AD3484"/>
    </row>
    <row r="3485" spans="27:30" ht="15">
      <c r="AA3485"/>
      <c r="AB3485"/>
      <c r="AC3485"/>
      <c r="AD3485"/>
    </row>
    <row r="3486" spans="27:30" ht="15">
      <c r="AA3486"/>
      <c r="AB3486"/>
      <c r="AC3486"/>
      <c r="AD3486"/>
    </row>
    <row r="3487" spans="27:30" ht="15">
      <c r="AA3487"/>
      <c r="AB3487"/>
      <c r="AC3487"/>
      <c r="AD3487"/>
    </row>
    <row r="3488" spans="27:30" ht="15">
      <c r="AA3488"/>
      <c r="AB3488"/>
      <c r="AC3488"/>
      <c r="AD3488"/>
    </row>
    <row r="3489" spans="27:30" ht="15">
      <c r="AA3489"/>
      <c r="AB3489"/>
      <c r="AC3489"/>
      <c r="AD3489"/>
    </row>
    <row r="3490" spans="27:30" ht="15">
      <c r="AA3490"/>
      <c r="AB3490"/>
      <c r="AC3490"/>
      <c r="AD3490"/>
    </row>
    <row r="3491" spans="27:30" ht="15">
      <c r="AA3491"/>
      <c r="AB3491"/>
      <c r="AC3491"/>
      <c r="AD3491"/>
    </row>
    <row r="3492" spans="27:30" ht="15">
      <c r="AA3492"/>
      <c r="AB3492"/>
      <c r="AC3492"/>
      <c r="AD3492"/>
    </row>
    <row r="3493" spans="27:30" ht="15">
      <c r="AA3493"/>
      <c r="AB3493"/>
      <c r="AC3493"/>
      <c r="AD3493"/>
    </row>
    <row r="3494" spans="27:30" ht="15">
      <c r="AA3494"/>
      <c r="AB3494"/>
      <c r="AC3494"/>
      <c r="AD3494"/>
    </row>
    <row r="3495" spans="27:30" ht="15">
      <c r="AA3495"/>
      <c r="AB3495"/>
      <c r="AC3495"/>
      <c r="AD3495"/>
    </row>
    <row r="3496" spans="27:30" ht="15">
      <c r="AA3496"/>
      <c r="AB3496"/>
      <c r="AC3496"/>
      <c r="AD3496"/>
    </row>
    <row r="3497" spans="27:30" ht="15">
      <c r="AA3497"/>
      <c r="AB3497"/>
      <c r="AC3497"/>
      <c r="AD3497"/>
    </row>
    <row r="3498" spans="27:30" ht="15">
      <c r="AA3498"/>
      <c r="AB3498"/>
      <c r="AC3498"/>
      <c r="AD3498"/>
    </row>
    <row r="3499" spans="27:30" ht="15">
      <c r="AA3499"/>
      <c r="AB3499"/>
      <c r="AC3499"/>
      <c r="AD3499"/>
    </row>
    <row r="3500" spans="27:30" ht="15">
      <c r="AA3500"/>
      <c r="AB3500"/>
      <c r="AC3500"/>
      <c r="AD3500"/>
    </row>
    <row r="3501" spans="27:30" ht="15">
      <c r="AA3501"/>
      <c r="AB3501"/>
      <c r="AC3501"/>
      <c r="AD3501"/>
    </row>
    <row r="3502" spans="27:30" ht="15">
      <c r="AA3502"/>
      <c r="AB3502"/>
      <c r="AC3502"/>
      <c r="AD3502"/>
    </row>
    <row r="3503" spans="27:30" ht="15">
      <c r="AA3503"/>
      <c r="AB3503"/>
      <c r="AC3503"/>
      <c r="AD3503"/>
    </row>
    <row r="3504" spans="27:30" ht="15">
      <c r="AA3504"/>
      <c r="AB3504"/>
      <c r="AC3504"/>
      <c r="AD3504"/>
    </row>
    <row r="3505" spans="27:30" ht="15">
      <c r="AA3505"/>
      <c r="AB3505"/>
      <c r="AC3505"/>
      <c r="AD3505"/>
    </row>
    <row r="3506" spans="27:30" ht="15">
      <c r="AA3506"/>
      <c r="AB3506"/>
      <c r="AC3506"/>
      <c r="AD3506"/>
    </row>
    <row r="3507" spans="27:30" ht="15">
      <c r="AA3507"/>
      <c r="AB3507"/>
      <c r="AC3507"/>
      <c r="AD3507"/>
    </row>
    <row r="3508" spans="27:30" ht="15">
      <c r="AA3508"/>
      <c r="AB3508"/>
      <c r="AC3508"/>
      <c r="AD3508"/>
    </row>
    <row r="3509" spans="27:30" ht="15">
      <c r="AA3509"/>
      <c r="AB3509"/>
      <c r="AC3509"/>
      <c r="AD3509"/>
    </row>
    <row r="3510" spans="27:30" ht="15">
      <c r="AA3510"/>
      <c r="AB3510"/>
      <c r="AC3510"/>
      <c r="AD3510"/>
    </row>
    <row r="3511" spans="27:30" ht="15">
      <c r="AA3511"/>
      <c r="AB3511"/>
      <c r="AC3511"/>
      <c r="AD3511"/>
    </row>
    <row r="3512" spans="27:30" ht="15">
      <c r="AA3512"/>
      <c r="AB3512"/>
      <c r="AC3512"/>
      <c r="AD3512"/>
    </row>
    <row r="3513" spans="27:30" ht="15">
      <c r="AA3513"/>
      <c r="AB3513"/>
      <c r="AC3513"/>
      <c r="AD3513"/>
    </row>
    <row r="3514" spans="27:30" ht="15">
      <c r="AA3514"/>
      <c r="AB3514"/>
      <c r="AC3514"/>
      <c r="AD3514"/>
    </row>
    <row r="3515" spans="27:30" ht="15">
      <c r="AA3515"/>
      <c r="AB3515"/>
      <c r="AC3515"/>
      <c r="AD3515"/>
    </row>
    <row r="3516" spans="27:30" ht="15">
      <c r="AA3516"/>
      <c r="AB3516"/>
      <c r="AC3516"/>
      <c r="AD3516"/>
    </row>
    <row r="3517" spans="27:30" ht="15">
      <c r="AA3517"/>
      <c r="AB3517"/>
      <c r="AC3517"/>
      <c r="AD3517"/>
    </row>
    <row r="3518" spans="27:30" ht="15">
      <c r="AA3518"/>
      <c r="AB3518"/>
      <c r="AC3518"/>
      <c r="AD3518"/>
    </row>
    <row r="3519" spans="27:30" ht="15">
      <c r="AA3519"/>
      <c r="AB3519"/>
      <c r="AC3519"/>
      <c r="AD3519"/>
    </row>
    <row r="3520" spans="27:30" ht="15">
      <c r="AA3520"/>
      <c r="AB3520"/>
      <c r="AC3520"/>
      <c r="AD3520"/>
    </row>
    <row r="3521" spans="27:30" ht="15">
      <c r="AA3521"/>
      <c r="AB3521"/>
      <c r="AC3521"/>
      <c r="AD3521"/>
    </row>
    <row r="3522" spans="27:30" ht="15">
      <c r="AA3522"/>
      <c r="AB3522"/>
      <c r="AC3522"/>
      <c r="AD3522"/>
    </row>
    <row r="3523" spans="27:30" ht="15">
      <c r="AA3523"/>
      <c r="AB3523"/>
      <c r="AC3523"/>
      <c r="AD3523"/>
    </row>
    <row r="3524" spans="27:30" ht="15">
      <c r="AA3524"/>
      <c r="AB3524"/>
      <c r="AC3524"/>
      <c r="AD3524"/>
    </row>
    <row r="3525" spans="27:30" ht="15">
      <c r="AA3525"/>
      <c r="AB3525"/>
      <c r="AC3525"/>
      <c r="AD3525"/>
    </row>
    <row r="3526" spans="27:30" ht="15">
      <c r="AA3526"/>
      <c r="AB3526"/>
      <c r="AC3526"/>
      <c r="AD3526"/>
    </row>
    <row r="3527" spans="27:30" ht="15">
      <c r="AA3527"/>
      <c r="AB3527"/>
      <c r="AC3527"/>
      <c r="AD3527"/>
    </row>
    <row r="3528" spans="27:30" ht="15">
      <c r="AA3528"/>
      <c r="AB3528"/>
      <c r="AC3528"/>
      <c r="AD3528"/>
    </row>
    <row r="3529" spans="27:30" ht="15">
      <c r="AA3529"/>
      <c r="AB3529"/>
      <c r="AC3529"/>
      <c r="AD3529"/>
    </row>
    <row r="3530" spans="27:30" ht="15">
      <c r="AA3530"/>
      <c r="AB3530"/>
      <c r="AC3530"/>
      <c r="AD3530"/>
    </row>
    <row r="3531" spans="27:30" ht="15">
      <c r="AA3531"/>
      <c r="AB3531"/>
      <c r="AC3531"/>
      <c r="AD3531"/>
    </row>
    <row r="3532" spans="27:30" ht="15">
      <c r="AA3532"/>
      <c r="AB3532"/>
      <c r="AC3532"/>
      <c r="AD3532"/>
    </row>
    <row r="3533" spans="27:30" ht="15">
      <c r="AA3533"/>
      <c r="AB3533"/>
      <c r="AC3533"/>
      <c r="AD3533"/>
    </row>
    <row r="3534" spans="27:30" ht="15">
      <c r="AA3534"/>
      <c r="AB3534"/>
      <c r="AC3534"/>
      <c r="AD3534"/>
    </row>
    <row r="3535" spans="27:30" ht="15">
      <c r="AA3535"/>
      <c r="AB3535"/>
      <c r="AC3535"/>
      <c r="AD3535"/>
    </row>
    <row r="3536" spans="27:30" ht="15">
      <c r="AA3536"/>
      <c r="AB3536"/>
      <c r="AC3536"/>
      <c r="AD3536"/>
    </row>
    <row r="3537" spans="27:30" ht="15">
      <c r="AA3537"/>
      <c r="AB3537"/>
      <c r="AC3537"/>
      <c r="AD3537"/>
    </row>
    <row r="3538" spans="27:30" ht="15">
      <c r="AA3538"/>
      <c r="AB3538"/>
      <c r="AC3538"/>
      <c r="AD3538"/>
    </row>
    <row r="3539" spans="27:30" ht="15">
      <c r="AA3539"/>
      <c r="AB3539"/>
      <c r="AC3539"/>
      <c r="AD3539"/>
    </row>
    <row r="3540" spans="27:30" ht="15">
      <c r="AA3540"/>
      <c r="AB3540"/>
      <c r="AC3540"/>
      <c r="AD3540"/>
    </row>
    <row r="3541" spans="27:30" ht="15">
      <c r="AA3541"/>
      <c r="AB3541"/>
      <c r="AC3541"/>
      <c r="AD3541"/>
    </row>
    <row r="3542" spans="27:30" ht="15">
      <c r="AA3542"/>
      <c r="AB3542"/>
      <c r="AC3542"/>
      <c r="AD3542"/>
    </row>
    <row r="3543" spans="27:30" ht="15">
      <c r="AA3543"/>
      <c r="AB3543"/>
      <c r="AC3543"/>
      <c r="AD3543"/>
    </row>
    <row r="3544" spans="27:30" ht="15">
      <c r="AA3544"/>
      <c r="AB3544"/>
      <c r="AC3544"/>
      <c r="AD3544"/>
    </row>
    <row r="3545" spans="27:30" ht="15">
      <c r="AA3545"/>
      <c r="AB3545"/>
      <c r="AC3545"/>
      <c r="AD3545"/>
    </row>
    <row r="3546" spans="27:30" ht="15">
      <c r="AA3546"/>
      <c r="AB3546"/>
      <c r="AC3546"/>
      <c r="AD3546"/>
    </row>
    <row r="3547" spans="27:30" ht="15">
      <c r="AA3547"/>
      <c r="AB3547"/>
      <c r="AC3547"/>
      <c r="AD3547"/>
    </row>
    <row r="3548" spans="27:30" ht="15">
      <c r="AA3548"/>
      <c r="AB3548"/>
      <c r="AC3548"/>
      <c r="AD3548"/>
    </row>
    <row r="3549" spans="27:30" ht="15">
      <c r="AA3549"/>
      <c r="AB3549"/>
      <c r="AC3549"/>
      <c r="AD3549"/>
    </row>
    <row r="3550" spans="27:30" ht="15">
      <c r="AA3550"/>
      <c r="AB3550"/>
      <c r="AC3550"/>
      <c r="AD3550"/>
    </row>
    <row r="3551" spans="27:30" ht="15">
      <c r="AA3551"/>
      <c r="AB3551"/>
      <c r="AC3551"/>
      <c r="AD3551"/>
    </row>
    <row r="3552" spans="27:30" ht="15">
      <c r="AA3552"/>
      <c r="AB3552"/>
      <c r="AC3552"/>
      <c r="AD3552"/>
    </row>
    <row r="3553" spans="27:30" ht="15">
      <c r="AA3553"/>
      <c r="AB3553"/>
      <c r="AC3553"/>
      <c r="AD3553"/>
    </row>
    <row r="3554" spans="27:30" ht="15">
      <c r="AA3554"/>
      <c r="AB3554"/>
      <c r="AC3554"/>
      <c r="AD3554"/>
    </row>
    <row r="3555" spans="27:30" ht="15">
      <c r="AA3555"/>
      <c r="AB3555"/>
      <c r="AC3555"/>
      <c r="AD3555"/>
    </row>
    <row r="3556" spans="27:30" ht="15">
      <c r="AA3556"/>
      <c r="AB3556"/>
      <c r="AC3556"/>
      <c r="AD3556"/>
    </row>
    <row r="3557" spans="27:30" ht="15">
      <c r="AA3557"/>
      <c r="AB3557"/>
      <c r="AC3557"/>
      <c r="AD3557"/>
    </row>
    <row r="3558" spans="27:30" ht="15">
      <c r="AA3558"/>
      <c r="AB3558"/>
      <c r="AC3558"/>
      <c r="AD3558"/>
    </row>
    <row r="3559" spans="27:30" ht="15">
      <c r="AA3559"/>
      <c r="AB3559"/>
      <c r="AC3559"/>
      <c r="AD3559"/>
    </row>
    <row r="3560" spans="27:30" ht="15">
      <c r="AA3560"/>
      <c r="AB3560"/>
      <c r="AC3560"/>
      <c r="AD3560"/>
    </row>
    <row r="3561" spans="27:30" ht="15">
      <c r="AA3561"/>
      <c r="AB3561"/>
      <c r="AC3561"/>
      <c r="AD3561"/>
    </row>
    <row r="3562" spans="27:30" ht="15">
      <c r="AA3562"/>
      <c r="AB3562"/>
      <c r="AC3562"/>
      <c r="AD3562"/>
    </row>
    <row r="3563" spans="27:30" ht="15">
      <c r="AA3563"/>
      <c r="AB3563"/>
      <c r="AC3563"/>
      <c r="AD3563"/>
    </row>
    <row r="3564" spans="27:30" ht="15">
      <c r="AA3564"/>
      <c r="AB3564"/>
      <c r="AC3564"/>
      <c r="AD3564"/>
    </row>
    <row r="3565" spans="27:30" ht="15">
      <c r="AA3565"/>
      <c r="AB3565"/>
      <c r="AC3565"/>
      <c r="AD3565"/>
    </row>
    <row r="3566" spans="27:30" ht="15">
      <c r="AA3566"/>
      <c r="AB3566"/>
      <c r="AC3566"/>
      <c r="AD3566"/>
    </row>
    <row r="3567" spans="27:30" ht="15">
      <c r="AA3567"/>
      <c r="AB3567"/>
      <c r="AC3567"/>
      <c r="AD3567"/>
    </row>
    <row r="3568" spans="27:30" ht="15">
      <c r="AA3568"/>
      <c r="AB3568"/>
      <c r="AC3568"/>
      <c r="AD3568"/>
    </row>
    <row r="3569" spans="27:30" ht="15">
      <c r="AA3569"/>
      <c r="AB3569"/>
      <c r="AC3569"/>
      <c r="AD3569"/>
    </row>
    <row r="3570" spans="27:30" ht="15">
      <c r="AA3570"/>
      <c r="AB3570"/>
      <c r="AC3570"/>
      <c r="AD3570"/>
    </row>
    <row r="3571" spans="27:30" ht="15">
      <c r="AA3571"/>
      <c r="AB3571"/>
      <c r="AC3571"/>
      <c r="AD3571"/>
    </row>
    <row r="3572" spans="27:30" ht="15">
      <c r="AA3572"/>
      <c r="AB3572"/>
      <c r="AC3572"/>
      <c r="AD3572"/>
    </row>
    <row r="3573" spans="27:30" ht="15">
      <c r="AA3573"/>
      <c r="AB3573"/>
      <c r="AC3573"/>
      <c r="AD3573"/>
    </row>
    <row r="3574" spans="27:30" ht="15">
      <c r="AA3574"/>
      <c r="AB3574"/>
      <c r="AC3574"/>
      <c r="AD3574"/>
    </row>
    <row r="3575" spans="27:30" ht="15">
      <c r="AA3575"/>
      <c r="AB3575"/>
      <c r="AC3575"/>
      <c r="AD3575"/>
    </row>
    <row r="3576" spans="27:30" ht="15">
      <c r="AA3576"/>
      <c r="AB3576"/>
      <c r="AC3576"/>
      <c r="AD3576"/>
    </row>
    <row r="3577" spans="27:30" ht="15">
      <c r="AA3577"/>
      <c r="AB3577"/>
      <c r="AC3577"/>
      <c r="AD3577"/>
    </row>
    <row r="3578" spans="27:30" ht="15">
      <c r="AA3578"/>
      <c r="AB3578"/>
      <c r="AC3578"/>
      <c r="AD3578"/>
    </row>
    <row r="3579" spans="27:30" ht="15">
      <c r="AA3579"/>
      <c r="AB3579"/>
      <c r="AC3579"/>
      <c r="AD3579"/>
    </row>
    <row r="3580" spans="27:30" ht="15">
      <c r="AA3580"/>
      <c r="AB3580"/>
      <c r="AC3580"/>
      <c r="AD3580"/>
    </row>
    <row r="3581" spans="27:30" ht="15">
      <c r="AA3581"/>
      <c r="AB3581"/>
      <c r="AC3581"/>
      <c r="AD3581"/>
    </row>
    <row r="3582" spans="27:30" ht="15">
      <c r="AA3582"/>
      <c r="AB3582"/>
      <c r="AC3582"/>
      <c r="AD3582"/>
    </row>
    <row r="3583" spans="27:30" ht="15">
      <c r="AA3583"/>
      <c r="AB3583"/>
      <c r="AC3583"/>
      <c r="AD3583"/>
    </row>
    <row r="3584" spans="27:30" ht="15">
      <c r="AA3584"/>
      <c r="AB3584"/>
      <c r="AC3584"/>
      <c r="AD3584"/>
    </row>
    <row r="3585" spans="27:30" ht="15">
      <c r="AA3585"/>
      <c r="AB3585"/>
      <c r="AC3585"/>
      <c r="AD3585"/>
    </row>
    <row r="3586" spans="27:30" ht="15">
      <c r="AA3586"/>
      <c r="AB3586"/>
      <c r="AC3586"/>
      <c r="AD3586"/>
    </row>
    <row r="3587" spans="27:30" ht="15">
      <c r="AA3587"/>
      <c r="AB3587"/>
      <c r="AC3587"/>
      <c r="AD3587"/>
    </row>
    <row r="3588" spans="27:30" ht="15">
      <c r="AA3588"/>
      <c r="AB3588"/>
      <c r="AC3588"/>
      <c r="AD3588"/>
    </row>
    <row r="3589" spans="27:30" ht="15">
      <c r="AA3589"/>
      <c r="AB3589"/>
      <c r="AC3589"/>
      <c r="AD3589"/>
    </row>
    <row r="3590" spans="27:30" ht="15">
      <c r="AA3590"/>
      <c r="AB3590"/>
      <c r="AC3590"/>
      <c r="AD3590"/>
    </row>
    <row r="3591" spans="27:30" ht="15">
      <c r="AA3591"/>
      <c r="AB3591"/>
      <c r="AC3591"/>
      <c r="AD3591"/>
    </row>
    <row r="3592" spans="27:30" ht="15">
      <c r="AA3592"/>
      <c r="AB3592"/>
      <c r="AC3592"/>
      <c r="AD3592"/>
    </row>
    <row r="3593" spans="27:30" ht="15">
      <c r="AA3593"/>
      <c r="AB3593"/>
      <c r="AC3593"/>
      <c r="AD3593"/>
    </row>
    <row r="3594" spans="27:30" ht="15">
      <c r="AA3594"/>
      <c r="AB3594"/>
      <c r="AC3594"/>
      <c r="AD3594"/>
    </row>
    <row r="3595" spans="27:30" ht="15">
      <c r="AA3595"/>
      <c r="AB3595"/>
      <c r="AC3595"/>
      <c r="AD3595"/>
    </row>
    <row r="3596" spans="27:30" ht="15">
      <c r="AA3596"/>
      <c r="AB3596"/>
      <c r="AC3596"/>
      <c r="AD3596"/>
    </row>
    <row r="3597" spans="27:30" ht="15">
      <c r="AA3597"/>
      <c r="AB3597"/>
      <c r="AC3597"/>
      <c r="AD3597"/>
    </row>
    <row r="3598" spans="27:30" ht="15">
      <c r="AA3598"/>
      <c r="AB3598"/>
      <c r="AC3598"/>
      <c r="AD3598"/>
    </row>
    <row r="3599" spans="27:30" ht="15">
      <c r="AA3599"/>
      <c r="AB3599"/>
      <c r="AC3599"/>
      <c r="AD3599"/>
    </row>
    <row r="3600" spans="27:30" ht="15">
      <c r="AA3600"/>
      <c r="AB3600"/>
      <c r="AC3600"/>
      <c r="AD3600"/>
    </row>
    <row r="3601" spans="27:30" ht="15">
      <c r="AA3601"/>
      <c r="AB3601"/>
      <c r="AC3601"/>
      <c r="AD3601"/>
    </row>
    <row r="3602" spans="27:30" ht="15">
      <c r="AA3602"/>
      <c r="AB3602"/>
      <c r="AC3602"/>
      <c r="AD3602"/>
    </row>
    <row r="3603" spans="27:30" ht="15">
      <c r="AA3603"/>
      <c r="AB3603"/>
      <c r="AC3603"/>
      <c r="AD3603"/>
    </row>
    <row r="3604" spans="27:30" ht="15">
      <c r="AA3604"/>
      <c r="AB3604"/>
      <c r="AC3604"/>
      <c r="AD3604"/>
    </row>
    <row r="3605" spans="27:30" ht="15">
      <c r="AA3605"/>
      <c r="AB3605"/>
      <c r="AC3605"/>
      <c r="AD3605"/>
    </row>
    <row r="3606" spans="27:30" ht="15">
      <c r="AA3606"/>
      <c r="AB3606"/>
      <c r="AC3606"/>
      <c r="AD3606"/>
    </row>
    <row r="3607" spans="27:30" ht="15">
      <c r="AA3607"/>
      <c r="AB3607"/>
      <c r="AC3607"/>
      <c r="AD3607"/>
    </row>
    <row r="3608" spans="27:30" ht="15">
      <c r="AA3608"/>
      <c r="AB3608"/>
      <c r="AC3608"/>
      <c r="AD3608"/>
    </row>
    <row r="3609" spans="27:30" ht="15">
      <c r="AA3609"/>
      <c r="AB3609"/>
      <c r="AC3609"/>
      <c r="AD3609"/>
    </row>
    <row r="3610" spans="27:30" ht="15">
      <c r="AA3610"/>
      <c r="AB3610"/>
      <c r="AC3610"/>
      <c r="AD3610"/>
    </row>
    <row r="3611" spans="27:30" ht="15">
      <c r="AA3611"/>
      <c r="AB3611"/>
      <c r="AC3611"/>
      <c r="AD3611"/>
    </row>
    <row r="3612" spans="27:30" ht="15">
      <c r="AA3612"/>
      <c r="AB3612"/>
      <c r="AC3612"/>
      <c r="AD3612"/>
    </row>
    <row r="3613" spans="27:30" ht="15">
      <c r="AA3613"/>
      <c r="AB3613"/>
      <c r="AC3613"/>
      <c r="AD3613"/>
    </row>
    <row r="3614" spans="27:30" ht="15">
      <c r="AA3614"/>
      <c r="AB3614"/>
      <c r="AC3614"/>
      <c r="AD3614"/>
    </row>
    <row r="3615" spans="27:30" ht="15">
      <c r="AA3615"/>
      <c r="AB3615"/>
      <c r="AC3615"/>
      <c r="AD3615"/>
    </row>
    <row r="3616" spans="27:30" ht="15">
      <c r="AA3616"/>
      <c r="AB3616"/>
      <c r="AC3616"/>
      <c r="AD3616"/>
    </row>
    <row r="3617" spans="27:30" ht="15">
      <c r="AA3617"/>
      <c r="AB3617"/>
      <c r="AC3617"/>
      <c r="AD3617"/>
    </row>
    <row r="3618" spans="27:30" ht="15">
      <c r="AA3618"/>
      <c r="AB3618"/>
      <c r="AC3618"/>
      <c r="AD3618"/>
    </row>
    <row r="3619" spans="27:30" ht="15">
      <c r="AA3619"/>
      <c r="AB3619"/>
      <c r="AC3619"/>
      <c r="AD3619"/>
    </row>
    <row r="3620" spans="27:30" ht="15">
      <c r="AA3620"/>
      <c r="AB3620"/>
      <c r="AC3620"/>
      <c r="AD3620"/>
    </row>
    <row r="3621" spans="27:30" ht="15">
      <c r="AA3621"/>
      <c r="AB3621"/>
      <c r="AC3621"/>
      <c r="AD3621"/>
    </row>
    <row r="3622" spans="27:30" ht="15">
      <c r="AA3622"/>
      <c r="AB3622"/>
      <c r="AC3622"/>
      <c r="AD3622"/>
    </row>
    <row r="3623" spans="27:30" ht="15">
      <c r="AA3623"/>
      <c r="AB3623"/>
      <c r="AC3623"/>
      <c r="AD3623"/>
    </row>
    <row r="3624" spans="27:30" ht="15">
      <c r="AA3624"/>
      <c r="AB3624"/>
      <c r="AC3624"/>
      <c r="AD3624"/>
    </row>
    <row r="3625" spans="27:30" ht="15">
      <c r="AA3625"/>
      <c r="AB3625"/>
      <c r="AC3625"/>
      <c r="AD3625"/>
    </row>
    <row r="3626" spans="27:30" ht="15">
      <c r="AA3626"/>
      <c r="AB3626"/>
      <c r="AC3626"/>
      <c r="AD3626"/>
    </row>
    <row r="3627" spans="27:30" ht="15">
      <c r="AA3627"/>
      <c r="AB3627"/>
      <c r="AC3627"/>
      <c r="AD3627"/>
    </row>
    <row r="3628" spans="27:30" ht="15">
      <c r="AA3628"/>
      <c r="AB3628"/>
      <c r="AC3628"/>
      <c r="AD3628"/>
    </row>
    <row r="3629" spans="27:30" ht="15">
      <c r="AA3629"/>
      <c r="AB3629"/>
      <c r="AC3629"/>
      <c r="AD3629"/>
    </row>
    <row r="3630" spans="27:30" ht="15">
      <c r="AA3630"/>
      <c r="AB3630"/>
      <c r="AC3630"/>
      <c r="AD3630"/>
    </row>
    <row r="3631" spans="27:30" ht="15">
      <c r="AA3631"/>
      <c r="AB3631"/>
      <c r="AC3631"/>
      <c r="AD3631"/>
    </row>
    <row r="3632" spans="27:30" ht="15">
      <c r="AA3632"/>
      <c r="AB3632"/>
      <c r="AC3632"/>
      <c r="AD3632"/>
    </row>
    <row r="3633" spans="27:30" ht="15">
      <c r="AA3633"/>
      <c r="AB3633"/>
      <c r="AC3633"/>
      <c r="AD3633"/>
    </row>
    <row r="3634" spans="27:30" ht="15">
      <c r="AA3634"/>
      <c r="AB3634"/>
      <c r="AC3634"/>
      <c r="AD3634"/>
    </row>
    <row r="3635" spans="27:30" ht="15">
      <c r="AA3635"/>
      <c r="AB3635"/>
      <c r="AC3635"/>
      <c r="AD3635"/>
    </row>
    <row r="3636" spans="27:30" ht="15">
      <c r="AA3636"/>
      <c r="AB3636"/>
      <c r="AC3636"/>
      <c r="AD3636"/>
    </row>
    <row r="3637" spans="27:30" ht="15">
      <c r="AA3637"/>
      <c r="AB3637"/>
      <c r="AC3637"/>
      <c r="AD3637"/>
    </row>
    <row r="3638" spans="27:30" ht="15">
      <c r="AA3638"/>
      <c r="AB3638"/>
      <c r="AC3638"/>
      <c r="AD3638"/>
    </row>
    <row r="3639" spans="27:30" ht="15">
      <c r="AA3639"/>
      <c r="AB3639"/>
      <c r="AC3639"/>
      <c r="AD3639"/>
    </row>
    <row r="3640" spans="27:30" ht="15">
      <c r="AA3640"/>
      <c r="AB3640"/>
      <c r="AC3640"/>
      <c r="AD3640"/>
    </row>
    <row r="3641" spans="27:30" ht="15">
      <c r="AA3641"/>
      <c r="AB3641"/>
      <c r="AC3641"/>
      <c r="AD3641"/>
    </row>
    <row r="3642" spans="27:30" ht="15">
      <c r="AA3642"/>
      <c r="AB3642"/>
      <c r="AC3642"/>
      <c r="AD3642"/>
    </row>
    <row r="3643" spans="27:30" ht="15">
      <c r="AA3643"/>
      <c r="AB3643"/>
      <c r="AC3643"/>
      <c r="AD3643"/>
    </row>
    <row r="3644" spans="27:30" ht="15">
      <c r="AA3644"/>
      <c r="AB3644"/>
      <c r="AC3644"/>
      <c r="AD3644"/>
    </row>
    <row r="3645" spans="27:30" ht="15">
      <c r="AA3645"/>
      <c r="AB3645"/>
      <c r="AC3645"/>
      <c r="AD3645"/>
    </row>
    <row r="3646" spans="27:30" ht="15">
      <c r="AA3646"/>
      <c r="AB3646"/>
      <c r="AC3646"/>
      <c r="AD3646"/>
    </row>
    <row r="3647" spans="27:30" ht="15">
      <c r="AA3647"/>
      <c r="AB3647"/>
      <c r="AC3647"/>
      <c r="AD3647"/>
    </row>
    <row r="3648" spans="27:30" ht="15">
      <c r="AA3648"/>
      <c r="AB3648"/>
      <c r="AC3648"/>
      <c r="AD3648"/>
    </row>
    <row r="3649" spans="27:30" ht="15">
      <c r="AA3649"/>
      <c r="AB3649"/>
      <c r="AC3649"/>
      <c r="AD3649"/>
    </row>
    <row r="3650" spans="27:30" ht="15">
      <c r="AA3650"/>
      <c r="AB3650"/>
      <c r="AC3650"/>
      <c r="AD3650"/>
    </row>
    <row r="3651" spans="27:30" ht="15">
      <c r="AA3651"/>
      <c r="AB3651"/>
      <c r="AC3651"/>
      <c r="AD3651"/>
    </row>
    <row r="3652" spans="27:30" ht="15">
      <c r="AA3652"/>
      <c r="AB3652"/>
      <c r="AC3652"/>
      <c r="AD3652"/>
    </row>
    <row r="3653" spans="27:30" ht="15">
      <c r="AA3653"/>
      <c r="AB3653"/>
      <c r="AC3653"/>
      <c r="AD3653"/>
    </row>
    <row r="3654" spans="27:30" ht="15">
      <c r="AA3654"/>
      <c r="AB3654"/>
      <c r="AC3654"/>
      <c r="AD3654"/>
    </row>
    <row r="3655" spans="27:30" ht="15">
      <c r="AA3655"/>
      <c r="AB3655"/>
      <c r="AC3655"/>
      <c r="AD3655"/>
    </row>
    <row r="3656" spans="27:30" ht="15">
      <c r="AA3656"/>
      <c r="AB3656"/>
      <c r="AC3656"/>
      <c r="AD3656"/>
    </row>
    <row r="3657" spans="27:30" ht="15">
      <c r="AA3657"/>
      <c r="AB3657"/>
      <c r="AC3657"/>
      <c r="AD3657"/>
    </row>
    <row r="3658" spans="27:30" ht="15">
      <c r="AA3658"/>
      <c r="AB3658"/>
      <c r="AC3658"/>
      <c r="AD3658"/>
    </row>
    <row r="3659" spans="27:30" ht="15">
      <c r="AA3659"/>
      <c r="AB3659"/>
      <c r="AC3659"/>
      <c r="AD3659"/>
    </row>
    <row r="3660" spans="27:30" ht="15">
      <c r="AA3660"/>
      <c r="AB3660"/>
      <c r="AC3660"/>
      <c r="AD3660"/>
    </row>
    <row r="3661" spans="27:30" ht="15">
      <c r="AA3661"/>
      <c r="AB3661"/>
      <c r="AC3661"/>
      <c r="AD3661"/>
    </row>
    <row r="3662" spans="27:30" ht="15">
      <c r="AA3662"/>
      <c r="AB3662"/>
      <c r="AC3662"/>
      <c r="AD3662"/>
    </row>
    <row r="3663" spans="27:30" ht="15">
      <c r="AA3663"/>
      <c r="AB3663"/>
      <c r="AC3663"/>
      <c r="AD3663"/>
    </row>
    <row r="3664" spans="27:30" ht="15">
      <c r="AA3664"/>
      <c r="AB3664"/>
      <c r="AC3664"/>
      <c r="AD3664"/>
    </row>
    <row r="3665" spans="27:30" ht="15">
      <c r="AA3665"/>
      <c r="AB3665"/>
      <c r="AC3665"/>
      <c r="AD3665"/>
    </row>
    <row r="3666" spans="27:30" ht="15">
      <c r="AA3666"/>
      <c r="AB3666"/>
      <c r="AC3666"/>
      <c r="AD3666"/>
    </row>
    <row r="3667" spans="27:30" ht="15">
      <c r="AA3667"/>
      <c r="AB3667"/>
      <c r="AC3667"/>
      <c r="AD3667"/>
    </row>
    <row r="3668" spans="27:30" ht="15">
      <c r="AA3668"/>
      <c r="AB3668"/>
      <c r="AC3668"/>
      <c r="AD3668"/>
    </row>
    <row r="3669" spans="27:30" ht="15">
      <c r="AA3669"/>
      <c r="AB3669"/>
      <c r="AC3669"/>
      <c r="AD3669"/>
    </row>
    <row r="3670" spans="27:30" ht="15">
      <c r="AA3670"/>
      <c r="AB3670"/>
      <c r="AC3670"/>
      <c r="AD3670"/>
    </row>
    <row r="3671" spans="27:30" ht="15">
      <c r="AA3671"/>
      <c r="AB3671"/>
      <c r="AC3671"/>
      <c r="AD3671"/>
    </row>
    <row r="3672" spans="27:30" ht="15">
      <c r="AA3672"/>
      <c r="AB3672"/>
      <c r="AC3672"/>
      <c r="AD3672"/>
    </row>
    <row r="3673" spans="27:30" ht="15">
      <c r="AA3673"/>
      <c r="AB3673"/>
      <c r="AC3673"/>
      <c r="AD3673"/>
    </row>
    <row r="3674" spans="27:30" ht="15">
      <c r="AA3674"/>
      <c r="AB3674"/>
      <c r="AC3674"/>
      <c r="AD3674"/>
    </row>
    <row r="3675" spans="27:30" ht="15">
      <c r="AA3675"/>
      <c r="AB3675"/>
      <c r="AC3675"/>
      <c r="AD3675"/>
    </row>
    <row r="3676" spans="27:30" ht="15">
      <c r="AA3676"/>
      <c r="AB3676"/>
      <c r="AC3676"/>
      <c r="AD3676"/>
    </row>
    <row r="3677" spans="27:30" ht="15">
      <c r="AA3677"/>
      <c r="AB3677"/>
      <c r="AC3677"/>
      <c r="AD3677"/>
    </row>
    <row r="3678" spans="27:30" ht="15">
      <c r="AA3678"/>
      <c r="AB3678"/>
      <c r="AC3678"/>
      <c r="AD3678"/>
    </row>
    <row r="3679" spans="27:30" ht="15">
      <c r="AA3679"/>
      <c r="AB3679"/>
      <c r="AC3679"/>
      <c r="AD3679"/>
    </row>
    <row r="3680" spans="27:30" ht="15">
      <c r="AA3680"/>
      <c r="AB3680"/>
      <c r="AC3680"/>
      <c r="AD3680"/>
    </row>
    <row r="3681" spans="27:30" ht="15">
      <c r="AA3681"/>
      <c r="AB3681"/>
      <c r="AC3681"/>
      <c r="AD3681"/>
    </row>
    <row r="3682" spans="27:30" ht="15">
      <c r="AA3682"/>
      <c r="AB3682"/>
      <c r="AC3682"/>
      <c r="AD3682"/>
    </row>
    <row r="3683" spans="27:30" ht="15">
      <c r="AA3683"/>
      <c r="AB3683"/>
      <c r="AC3683"/>
      <c r="AD3683"/>
    </row>
    <row r="3684" spans="27:30" ht="15">
      <c r="AA3684"/>
      <c r="AB3684"/>
      <c r="AC3684"/>
      <c r="AD3684"/>
    </row>
    <row r="3685" spans="27:30" ht="15">
      <c r="AA3685"/>
      <c r="AB3685"/>
      <c r="AC3685"/>
      <c r="AD3685"/>
    </row>
    <row r="3686" spans="27:30" ht="15">
      <c r="AA3686"/>
      <c r="AB3686"/>
      <c r="AC3686"/>
      <c r="AD3686"/>
    </row>
    <row r="3687" spans="27:30" ht="15">
      <c r="AA3687"/>
      <c r="AB3687"/>
      <c r="AC3687"/>
      <c r="AD3687"/>
    </row>
    <row r="3688" spans="27:30" ht="15">
      <c r="AA3688"/>
      <c r="AB3688"/>
      <c r="AC3688"/>
      <c r="AD3688"/>
    </row>
    <row r="3689" spans="27:30" ht="15">
      <c r="AA3689"/>
      <c r="AB3689"/>
      <c r="AC3689"/>
      <c r="AD3689"/>
    </row>
    <row r="3690" spans="27:30" ht="15">
      <c r="AA3690"/>
      <c r="AB3690"/>
      <c r="AC3690"/>
      <c r="AD3690"/>
    </row>
    <row r="3691" spans="27:30" ht="15">
      <c r="AA3691"/>
      <c r="AB3691"/>
      <c r="AC3691"/>
      <c r="AD3691"/>
    </row>
    <row r="3692" spans="27:30" ht="15">
      <c r="AA3692"/>
      <c r="AB3692"/>
      <c r="AC3692"/>
      <c r="AD3692"/>
    </row>
    <row r="3693" spans="27:30" ht="15">
      <c r="AA3693"/>
      <c r="AB3693"/>
      <c r="AC3693"/>
      <c r="AD3693"/>
    </row>
    <row r="3694" spans="27:30" ht="15">
      <c r="AA3694"/>
      <c r="AB3694"/>
      <c r="AC3694"/>
      <c r="AD3694"/>
    </row>
    <row r="3695" spans="27:30" ht="15">
      <c r="AA3695"/>
      <c r="AB3695"/>
      <c r="AC3695"/>
      <c r="AD3695"/>
    </row>
    <row r="3696" spans="27:30" ht="15">
      <c r="AA3696"/>
      <c r="AB3696"/>
      <c r="AC3696"/>
      <c r="AD3696"/>
    </row>
    <row r="3697" spans="27:30" ht="15">
      <c r="AA3697"/>
      <c r="AB3697"/>
      <c r="AC3697"/>
      <c r="AD3697"/>
    </row>
    <row r="3698" spans="27:30" ht="15">
      <c r="AA3698"/>
      <c r="AB3698"/>
      <c r="AC3698"/>
      <c r="AD3698"/>
    </row>
    <row r="3699" spans="27:30" ht="15">
      <c r="AA3699"/>
      <c r="AB3699"/>
      <c r="AC3699"/>
      <c r="AD3699"/>
    </row>
    <row r="3700" spans="27:30" ht="15">
      <c r="AA3700"/>
      <c r="AB3700"/>
      <c r="AC3700"/>
      <c r="AD3700"/>
    </row>
    <row r="3701" spans="27:30" ht="15">
      <c r="AA3701"/>
      <c r="AB3701"/>
      <c r="AC3701"/>
      <c r="AD3701"/>
    </row>
    <row r="3702" spans="27:30" ht="15">
      <c r="AA3702"/>
      <c r="AB3702"/>
      <c r="AC3702"/>
      <c r="AD3702"/>
    </row>
    <row r="3703" spans="27:30" ht="15">
      <c r="AA3703"/>
      <c r="AB3703"/>
      <c r="AC3703"/>
      <c r="AD3703"/>
    </row>
    <row r="3704" spans="27:30" ht="15">
      <c r="AA3704"/>
      <c r="AB3704"/>
      <c r="AC3704"/>
      <c r="AD3704"/>
    </row>
    <row r="3705" spans="27:30" ht="15">
      <c r="AA3705"/>
      <c r="AB3705"/>
      <c r="AC3705"/>
      <c r="AD3705"/>
    </row>
    <row r="3706" spans="27:30" ht="15">
      <c r="AA3706"/>
      <c r="AB3706"/>
      <c r="AC3706"/>
      <c r="AD3706"/>
    </row>
    <row r="3707" spans="27:30" ht="15">
      <c r="AA3707"/>
      <c r="AB3707"/>
      <c r="AC3707"/>
      <c r="AD3707"/>
    </row>
    <row r="3708" spans="27:30" ht="15">
      <c r="AA3708"/>
      <c r="AB3708"/>
      <c r="AC3708"/>
      <c r="AD3708"/>
    </row>
    <row r="3709" spans="27:30" ht="15">
      <c r="AA3709"/>
      <c r="AB3709"/>
      <c r="AC3709"/>
      <c r="AD3709"/>
    </row>
    <row r="3710" spans="27:30" ht="15">
      <c r="AA3710"/>
      <c r="AB3710"/>
      <c r="AC3710"/>
      <c r="AD3710"/>
    </row>
    <row r="3711" spans="27:30" ht="15">
      <c r="AA3711"/>
      <c r="AB3711"/>
      <c r="AC3711"/>
      <c r="AD3711"/>
    </row>
    <row r="3712" spans="27:30" ht="15">
      <c r="AA3712"/>
      <c r="AB3712"/>
      <c r="AC3712"/>
      <c r="AD3712"/>
    </row>
    <row r="3713" spans="27:30" ht="15">
      <c r="AA3713"/>
      <c r="AB3713"/>
      <c r="AC3713"/>
      <c r="AD3713"/>
    </row>
    <row r="3714" spans="27:30" ht="15">
      <c r="AA3714"/>
      <c r="AB3714"/>
      <c r="AC3714"/>
      <c r="AD3714"/>
    </row>
    <row r="3715" spans="27:30" ht="15">
      <c r="AA3715"/>
      <c r="AB3715"/>
      <c r="AC3715"/>
      <c r="AD3715"/>
    </row>
    <row r="3716" spans="27:30" ht="15">
      <c r="AA3716"/>
      <c r="AB3716"/>
      <c r="AC3716"/>
      <c r="AD3716"/>
    </row>
    <row r="3717" spans="27:30" ht="15">
      <c r="AA3717"/>
      <c r="AB3717"/>
      <c r="AC3717"/>
      <c r="AD3717"/>
    </row>
    <row r="3718" spans="27:30" ht="15">
      <c r="AA3718"/>
      <c r="AB3718"/>
      <c r="AC3718"/>
      <c r="AD3718"/>
    </row>
    <row r="3719" spans="27:30" ht="15">
      <c r="AA3719"/>
      <c r="AB3719"/>
      <c r="AC3719"/>
      <c r="AD3719"/>
    </row>
    <row r="3720" spans="27:30" ht="15">
      <c r="AA3720"/>
      <c r="AB3720"/>
      <c r="AC3720"/>
      <c r="AD3720"/>
    </row>
    <row r="3721" spans="27:30" ht="15">
      <c r="AA3721"/>
      <c r="AB3721"/>
      <c r="AC3721"/>
      <c r="AD3721"/>
    </row>
    <row r="3722" spans="27:30" ht="15">
      <c r="AA3722"/>
      <c r="AB3722"/>
      <c r="AC3722"/>
      <c r="AD3722"/>
    </row>
    <row r="3723" spans="27:30" ht="15">
      <c r="AA3723"/>
      <c r="AB3723"/>
      <c r="AC3723"/>
      <c r="AD3723"/>
    </row>
    <row r="3724" spans="27:30" ht="15">
      <c r="AA3724"/>
      <c r="AB3724"/>
      <c r="AC3724"/>
      <c r="AD3724"/>
    </row>
    <row r="3725" spans="27:30" ht="15">
      <c r="AA3725"/>
      <c r="AB3725"/>
      <c r="AC3725"/>
      <c r="AD3725"/>
    </row>
    <row r="3726" spans="27:30" ht="15">
      <c r="AA3726"/>
      <c r="AB3726"/>
      <c r="AC3726"/>
      <c r="AD3726"/>
    </row>
    <row r="3727" spans="27:30" ht="15">
      <c r="AA3727"/>
      <c r="AB3727"/>
      <c r="AC3727"/>
      <c r="AD3727"/>
    </row>
    <row r="3728" spans="27:30" ht="15">
      <c r="AA3728"/>
      <c r="AB3728"/>
      <c r="AC3728"/>
      <c r="AD3728"/>
    </row>
    <row r="3729" spans="27:30" ht="15">
      <c r="AA3729"/>
      <c r="AB3729"/>
      <c r="AC3729"/>
      <c r="AD3729"/>
    </row>
    <row r="3730" spans="27:30" ht="15">
      <c r="AA3730"/>
      <c r="AB3730"/>
      <c r="AC3730"/>
      <c r="AD3730"/>
    </row>
    <row r="3731" spans="27:30" ht="15">
      <c r="AA3731"/>
      <c r="AB3731"/>
      <c r="AC3731"/>
      <c r="AD3731"/>
    </row>
    <row r="3732" spans="27:30" ht="15">
      <c r="AA3732"/>
      <c r="AB3732"/>
      <c r="AC3732"/>
      <c r="AD3732"/>
    </row>
    <row r="3733" spans="27:30" ht="15">
      <c r="AA3733"/>
      <c r="AB3733"/>
      <c r="AC3733"/>
      <c r="AD3733"/>
    </row>
    <row r="3734" spans="27:30" ht="15">
      <c r="AA3734"/>
      <c r="AB3734"/>
      <c r="AC3734"/>
      <c r="AD3734"/>
    </row>
    <row r="3735" spans="27:30" ht="15">
      <c r="AA3735"/>
      <c r="AB3735"/>
      <c r="AC3735"/>
      <c r="AD3735"/>
    </row>
    <row r="3736" spans="27:30" ht="15">
      <c r="AA3736"/>
      <c r="AB3736"/>
      <c r="AC3736"/>
      <c r="AD3736"/>
    </row>
    <row r="3737" spans="27:30" ht="15">
      <c r="AA3737"/>
      <c r="AB3737"/>
      <c r="AC3737"/>
      <c r="AD3737"/>
    </row>
    <row r="3738" spans="27:30" ht="15">
      <c r="AA3738"/>
      <c r="AB3738"/>
      <c r="AC3738"/>
      <c r="AD3738"/>
    </row>
    <row r="3739" spans="27:30" ht="15">
      <c r="AA3739"/>
      <c r="AB3739"/>
      <c r="AC3739"/>
      <c r="AD3739"/>
    </row>
    <row r="3740" spans="27:30" ht="15">
      <c r="AA3740"/>
      <c r="AB3740"/>
      <c r="AC3740"/>
      <c r="AD3740"/>
    </row>
    <row r="3741" spans="27:30" ht="15">
      <c r="AA3741"/>
      <c r="AB3741"/>
      <c r="AC3741"/>
      <c r="AD3741"/>
    </row>
    <row r="3742" spans="27:30" ht="15">
      <c r="AA3742"/>
      <c r="AB3742"/>
      <c r="AC3742"/>
      <c r="AD3742"/>
    </row>
    <row r="3743" spans="27:30" ht="15">
      <c r="AA3743"/>
      <c r="AB3743"/>
      <c r="AC3743"/>
      <c r="AD3743"/>
    </row>
    <row r="3744" spans="27:30" ht="15">
      <c r="AA3744"/>
      <c r="AB3744"/>
      <c r="AC3744"/>
      <c r="AD3744"/>
    </row>
    <row r="3745" spans="27:30" ht="15">
      <c r="AA3745"/>
      <c r="AB3745"/>
      <c r="AC3745"/>
      <c r="AD3745"/>
    </row>
    <row r="3746" spans="27:30" ht="15">
      <c r="AA3746"/>
      <c r="AB3746"/>
      <c r="AC3746"/>
      <c r="AD3746"/>
    </row>
    <row r="3747" spans="27:30" ht="15">
      <c r="AA3747"/>
      <c r="AB3747"/>
      <c r="AC3747"/>
      <c r="AD3747"/>
    </row>
    <row r="3748" spans="27:30" ht="15">
      <c r="AA3748"/>
      <c r="AB3748"/>
      <c r="AC3748"/>
      <c r="AD3748"/>
    </row>
    <row r="3749" spans="27:30" ht="15">
      <c r="AA3749"/>
      <c r="AB3749"/>
      <c r="AC3749"/>
      <c r="AD3749"/>
    </row>
    <row r="3750" spans="27:30" ht="15">
      <c r="AA3750"/>
      <c r="AB3750"/>
      <c r="AC3750"/>
      <c r="AD3750"/>
    </row>
    <row r="3751" spans="27:30" ht="15">
      <c r="AA3751"/>
      <c r="AB3751"/>
      <c r="AC3751"/>
      <c r="AD3751"/>
    </row>
    <row r="3752" spans="27:30" ht="15">
      <c r="AA3752"/>
      <c r="AB3752"/>
      <c r="AC3752"/>
      <c r="AD3752"/>
    </row>
    <row r="3753" spans="27:30" ht="15">
      <c r="AA3753"/>
      <c r="AB3753"/>
      <c r="AC3753"/>
      <c r="AD3753"/>
    </row>
    <row r="3754" spans="27:30" ht="15">
      <c r="AA3754"/>
      <c r="AB3754"/>
      <c r="AC3754"/>
      <c r="AD3754"/>
    </row>
    <row r="3755" spans="27:30" ht="15">
      <c r="AA3755"/>
      <c r="AB3755"/>
      <c r="AC3755"/>
      <c r="AD3755"/>
    </row>
    <row r="3756" spans="27:30" ht="15">
      <c r="AA3756"/>
      <c r="AB3756"/>
      <c r="AC3756"/>
      <c r="AD3756"/>
    </row>
    <row r="3757" spans="27:30" ht="15">
      <c r="AA3757"/>
      <c r="AB3757"/>
      <c r="AC3757"/>
      <c r="AD3757"/>
    </row>
    <row r="3758" spans="27:30" ht="15">
      <c r="AA3758"/>
      <c r="AB3758"/>
      <c r="AC3758"/>
      <c r="AD3758"/>
    </row>
    <row r="3759" spans="27:30" ht="15">
      <c r="AA3759"/>
      <c r="AB3759"/>
      <c r="AC3759"/>
      <c r="AD3759"/>
    </row>
    <row r="3760" spans="27:30" ht="15">
      <c r="AA3760"/>
      <c r="AB3760"/>
      <c r="AC3760"/>
      <c r="AD3760"/>
    </row>
    <row r="3761" spans="27:30" ht="15">
      <c r="AA3761"/>
      <c r="AB3761"/>
      <c r="AC3761"/>
      <c r="AD3761"/>
    </row>
    <row r="3762" spans="27:30" ht="15">
      <c r="AA3762"/>
      <c r="AB3762"/>
      <c r="AC3762"/>
      <c r="AD3762"/>
    </row>
    <row r="3763" spans="27:30" ht="15">
      <c r="AA3763"/>
      <c r="AB3763"/>
      <c r="AC3763"/>
      <c r="AD3763"/>
    </row>
    <row r="3764" spans="27:30" ht="15">
      <c r="AA3764"/>
      <c r="AB3764"/>
      <c r="AC3764"/>
      <c r="AD3764"/>
    </row>
    <row r="3765" spans="27:30" ht="15">
      <c r="AA3765"/>
      <c r="AB3765"/>
      <c r="AC3765"/>
      <c r="AD3765"/>
    </row>
    <row r="3766" spans="27:30" ht="15">
      <c r="AA3766"/>
      <c r="AB3766"/>
      <c r="AC3766"/>
      <c r="AD3766"/>
    </row>
    <row r="3767" spans="27:30" ht="15">
      <c r="AA3767"/>
      <c r="AB3767"/>
      <c r="AC3767"/>
      <c r="AD3767"/>
    </row>
    <row r="3768" spans="27:30" ht="15">
      <c r="AA3768"/>
      <c r="AB3768"/>
      <c r="AC3768"/>
      <c r="AD3768"/>
    </row>
    <row r="3769" spans="27:30" ht="15">
      <c r="AA3769"/>
      <c r="AB3769"/>
      <c r="AC3769"/>
      <c r="AD3769"/>
    </row>
    <row r="3770" spans="27:30" ht="15">
      <c r="AA3770"/>
      <c r="AB3770"/>
      <c r="AC3770"/>
      <c r="AD3770"/>
    </row>
    <row r="3771" spans="27:30" ht="15">
      <c r="AA3771"/>
      <c r="AB3771"/>
      <c r="AC3771"/>
      <c r="AD3771"/>
    </row>
    <row r="3772" spans="27:30" ht="15">
      <c r="AA3772"/>
      <c r="AB3772"/>
      <c r="AC3772"/>
      <c r="AD3772"/>
    </row>
    <row r="3773" spans="27:30" ht="15">
      <c r="AA3773"/>
      <c r="AB3773"/>
      <c r="AC3773"/>
      <c r="AD3773"/>
    </row>
    <row r="3774" spans="27:30" ht="15">
      <c r="AA3774"/>
      <c r="AB3774"/>
      <c r="AC3774"/>
      <c r="AD3774"/>
    </row>
    <row r="3775" spans="27:30" ht="15">
      <c r="AA3775"/>
      <c r="AB3775"/>
      <c r="AC3775"/>
      <c r="AD3775"/>
    </row>
    <row r="3776" spans="27:30" ht="15">
      <c r="AA3776"/>
      <c r="AB3776"/>
      <c r="AC3776"/>
      <c r="AD3776"/>
    </row>
    <row r="3777" spans="27:30" ht="15">
      <c r="AA3777"/>
      <c r="AB3777"/>
      <c r="AC3777"/>
      <c r="AD3777"/>
    </row>
    <row r="3778" spans="27:30" ht="15">
      <c r="AA3778"/>
      <c r="AB3778"/>
      <c r="AC3778"/>
      <c r="AD3778"/>
    </row>
    <row r="3779" spans="27:30" ht="15">
      <c r="AA3779"/>
      <c r="AB3779"/>
      <c r="AC3779"/>
      <c r="AD3779"/>
    </row>
    <row r="3780" spans="27:30" ht="15">
      <c r="AA3780"/>
      <c r="AB3780"/>
      <c r="AC3780"/>
      <c r="AD3780"/>
    </row>
    <row r="3781" spans="27:30" ht="15">
      <c r="AA3781"/>
      <c r="AB3781"/>
      <c r="AC3781"/>
      <c r="AD3781"/>
    </row>
    <row r="3782" spans="27:30" ht="15">
      <c r="AA3782"/>
      <c r="AB3782"/>
      <c r="AC3782"/>
      <c r="AD3782"/>
    </row>
    <row r="3783" spans="27:30" ht="15">
      <c r="AA3783"/>
      <c r="AB3783"/>
      <c r="AC3783"/>
      <c r="AD3783"/>
    </row>
    <row r="3784" spans="27:30" ht="15">
      <c r="AA3784"/>
      <c r="AB3784"/>
      <c r="AC3784"/>
      <c r="AD3784"/>
    </row>
    <row r="3785" spans="27:30" ht="15">
      <c r="AA3785"/>
      <c r="AB3785"/>
      <c r="AC3785"/>
      <c r="AD3785"/>
    </row>
    <row r="3786" spans="27:30" ht="15">
      <c r="AA3786"/>
      <c r="AB3786"/>
      <c r="AC3786"/>
      <c r="AD3786"/>
    </row>
    <row r="3787" spans="27:30" ht="15">
      <c r="AA3787"/>
      <c r="AB3787"/>
      <c r="AC3787"/>
      <c r="AD3787"/>
    </row>
    <row r="3788" spans="27:30" ht="15">
      <c r="AA3788"/>
      <c r="AB3788"/>
      <c r="AC3788"/>
      <c r="AD3788"/>
    </row>
    <row r="3789" spans="27:30" ht="15">
      <c r="AA3789"/>
      <c r="AB3789"/>
      <c r="AC3789"/>
      <c r="AD3789"/>
    </row>
    <row r="3790" spans="27:30" ht="15">
      <c r="AA3790"/>
      <c r="AB3790"/>
      <c r="AC3790"/>
      <c r="AD3790"/>
    </row>
    <row r="3791" spans="27:30" ht="15">
      <c r="AA3791"/>
      <c r="AB3791"/>
      <c r="AC3791"/>
      <c r="AD3791"/>
    </row>
    <row r="3792" spans="27:30" ht="15">
      <c r="AA3792"/>
      <c r="AB3792"/>
      <c r="AC3792"/>
      <c r="AD3792"/>
    </row>
    <row r="3793" spans="27:30" ht="15">
      <c r="AA3793"/>
      <c r="AB3793"/>
      <c r="AC3793"/>
      <c r="AD3793"/>
    </row>
    <row r="3794" spans="27:30" ht="15">
      <c r="AA3794"/>
      <c r="AB3794"/>
      <c r="AC3794"/>
      <c r="AD3794"/>
    </row>
    <row r="3795" spans="27:30" ht="15">
      <c r="AA3795"/>
      <c r="AB3795"/>
      <c r="AC3795"/>
      <c r="AD3795"/>
    </row>
    <row r="3796" spans="27:30" ht="15">
      <c r="AA3796"/>
      <c r="AB3796"/>
      <c r="AC3796"/>
      <c r="AD3796"/>
    </row>
    <row r="3797" spans="27:30" ht="15">
      <c r="AA3797"/>
      <c r="AB3797"/>
      <c r="AC3797"/>
      <c r="AD3797"/>
    </row>
    <row r="3798" spans="27:30" ht="15">
      <c r="AA3798"/>
      <c r="AB3798"/>
      <c r="AC3798"/>
      <c r="AD3798"/>
    </row>
    <row r="3799" spans="27:30" ht="15">
      <c r="AA3799"/>
      <c r="AB3799"/>
      <c r="AC3799"/>
      <c r="AD3799"/>
    </row>
    <row r="3800" spans="27:30" ht="15">
      <c r="AA3800"/>
      <c r="AB3800"/>
      <c r="AC3800"/>
      <c r="AD3800"/>
    </row>
    <row r="3801" spans="27:30" ht="15">
      <c r="AA3801"/>
      <c r="AB3801"/>
      <c r="AC3801"/>
      <c r="AD3801"/>
    </row>
    <row r="3802" spans="27:30" ht="15">
      <c r="AA3802"/>
      <c r="AB3802"/>
      <c r="AC3802"/>
      <c r="AD3802"/>
    </row>
    <row r="3803" spans="27:30" ht="15">
      <c r="AA3803"/>
      <c r="AB3803"/>
      <c r="AC3803"/>
      <c r="AD3803"/>
    </row>
    <row r="3804" spans="27:30" ht="15">
      <c r="AA3804"/>
      <c r="AB3804"/>
      <c r="AC3804"/>
      <c r="AD3804"/>
    </row>
    <row r="3805" spans="27:30" ht="15">
      <c r="AA3805"/>
      <c r="AB3805"/>
      <c r="AC3805"/>
      <c r="AD3805"/>
    </row>
    <row r="3806" spans="27:30" ht="15">
      <c r="AA3806"/>
      <c r="AB3806"/>
      <c r="AC3806"/>
      <c r="AD3806"/>
    </row>
    <row r="3807" spans="27:30" ht="15">
      <c r="AA3807"/>
      <c r="AB3807"/>
      <c r="AC3807"/>
      <c r="AD3807"/>
    </row>
    <row r="3808" spans="27:30" ht="15">
      <c r="AA3808"/>
      <c r="AB3808"/>
      <c r="AC3808"/>
      <c r="AD3808"/>
    </row>
    <row r="3809" spans="27:30" ht="15">
      <c r="AA3809"/>
      <c r="AB3809"/>
      <c r="AC3809"/>
      <c r="AD3809"/>
    </row>
    <row r="3810" spans="27:30" ht="15">
      <c r="AA3810"/>
      <c r="AB3810"/>
      <c r="AC3810"/>
      <c r="AD3810"/>
    </row>
    <row r="3811" spans="27:30" ht="15">
      <c r="AA3811"/>
      <c r="AB3811"/>
      <c r="AC3811"/>
      <c r="AD3811"/>
    </row>
    <row r="3812" spans="27:30" ht="15">
      <c r="AA3812"/>
      <c r="AB3812"/>
      <c r="AC3812"/>
      <c r="AD3812"/>
    </row>
    <row r="3813" spans="27:30" ht="15">
      <c r="AA3813"/>
      <c r="AB3813"/>
      <c r="AC3813"/>
      <c r="AD3813"/>
    </row>
    <row r="3814" spans="27:30" ht="15">
      <c r="AA3814"/>
      <c r="AB3814"/>
      <c r="AC3814"/>
      <c r="AD3814"/>
    </row>
    <row r="3815" spans="27:30" ht="15">
      <c r="AA3815"/>
      <c r="AB3815"/>
      <c r="AC3815"/>
      <c r="AD3815"/>
    </row>
    <row r="3816" spans="27:30" ht="15">
      <c r="AA3816"/>
      <c r="AB3816"/>
      <c r="AC3816"/>
      <c r="AD3816"/>
    </row>
    <row r="3817" spans="27:30" ht="15">
      <c r="AA3817"/>
      <c r="AB3817"/>
      <c r="AC3817"/>
      <c r="AD3817"/>
    </row>
    <row r="3818" spans="27:30" ht="15">
      <c r="AA3818"/>
      <c r="AB3818"/>
      <c r="AC3818"/>
      <c r="AD3818"/>
    </row>
    <row r="3819" spans="27:30" ht="15">
      <c r="AA3819"/>
      <c r="AB3819"/>
      <c r="AC3819"/>
      <c r="AD3819"/>
    </row>
    <row r="3820" spans="27:30" ht="15">
      <c r="AA3820"/>
      <c r="AB3820"/>
      <c r="AC3820"/>
      <c r="AD3820"/>
    </row>
    <row r="3821" spans="27:30" ht="15">
      <c r="AA3821"/>
      <c r="AB3821"/>
      <c r="AC3821"/>
      <c r="AD3821"/>
    </row>
    <row r="3822" spans="27:30" ht="15">
      <c r="AA3822"/>
      <c r="AB3822"/>
      <c r="AC3822"/>
      <c r="AD3822"/>
    </row>
    <row r="3823" spans="27:30" ht="15">
      <c r="AA3823"/>
      <c r="AB3823"/>
      <c r="AC3823"/>
      <c r="AD3823"/>
    </row>
    <row r="3824" spans="27:30" ht="15">
      <c r="AA3824"/>
      <c r="AB3824"/>
      <c r="AC3824"/>
      <c r="AD3824"/>
    </row>
    <row r="3825" spans="27:30" ht="15">
      <c r="AA3825"/>
      <c r="AB3825"/>
      <c r="AC3825"/>
      <c r="AD3825"/>
    </row>
    <row r="3826" spans="27:30" ht="15">
      <c r="AA3826"/>
      <c r="AB3826"/>
      <c r="AC3826"/>
      <c r="AD3826"/>
    </row>
    <row r="3827" spans="27:30" ht="15">
      <c r="AA3827"/>
      <c r="AB3827"/>
      <c r="AC3827"/>
      <c r="AD3827"/>
    </row>
    <row r="3828" spans="27:30" ht="15">
      <c r="AA3828"/>
      <c r="AB3828"/>
      <c r="AC3828"/>
      <c r="AD3828"/>
    </row>
    <row r="3829" spans="27:30" ht="15">
      <c r="AA3829"/>
      <c r="AB3829"/>
      <c r="AC3829"/>
      <c r="AD3829"/>
    </row>
    <row r="3830" spans="27:30" ht="15">
      <c r="AA3830"/>
      <c r="AB3830"/>
      <c r="AC3830"/>
      <c r="AD3830"/>
    </row>
    <row r="3831" spans="27:30" ht="15">
      <c r="AA3831"/>
      <c r="AB3831"/>
      <c r="AC3831"/>
      <c r="AD3831"/>
    </row>
    <row r="3832" spans="27:30" ht="15">
      <c r="AA3832"/>
      <c r="AB3832"/>
      <c r="AC3832"/>
      <c r="AD3832"/>
    </row>
    <row r="3833" spans="27:30" ht="15">
      <c r="AA3833"/>
      <c r="AB3833"/>
      <c r="AC3833"/>
      <c r="AD3833"/>
    </row>
    <row r="3834" spans="27:30" ht="15">
      <c r="AA3834"/>
      <c r="AB3834"/>
      <c r="AC3834"/>
      <c r="AD3834"/>
    </row>
    <row r="3835" spans="27:30" ht="15">
      <c r="AA3835"/>
      <c r="AB3835"/>
      <c r="AC3835"/>
      <c r="AD3835"/>
    </row>
    <row r="3836" spans="27:30" ht="15">
      <c r="AA3836"/>
      <c r="AB3836"/>
      <c r="AC3836"/>
      <c r="AD3836"/>
    </row>
    <row r="3837" spans="27:30" ht="15">
      <c r="AA3837"/>
      <c r="AB3837"/>
      <c r="AC3837"/>
      <c r="AD3837"/>
    </row>
    <row r="3838" spans="27:30" ht="15">
      <c r="AA3838"/>
      <c r="AB3838"/>
      <c r="AC3838"/>
      <c r="AD3838"/>
    </row>
    <row r="3839" spans="27:30" ht="15">
      <c r="AA3839"/>
      <c r="AB3839"/>
      <c r="AC3839"/>
      <c r="AD3839"/>
    </row>
    <row r="3840" spans="27:30" ht="15">
      <c r="AA3840"/>
      <c r="AB3840"/>
      <c r="AC3840"/>
      <c r="AD3840"/>
    </row>
    <row r="3841" spans="27:30" ht="15">
      <c r="AA3841"/>
      <c r="AB3841"/>
      <c r="AC3841"/>
      <c r="AD3841"/>
    </row>
    <row r="3842" spans="27:30" ht="15">
      <c r="AA3842"/>
      <c r="AB3842"/>
      <c r="AC3842"/>
      <c r="AD3842"/>
    </row>
    <row r="3843" spans="27:30" ht="15">
      <c r="AA3843"/>
      <c r="AB3843"/>
      <c r="AC3843"/>
      <c r="AD3843"/>
    </row>
    <row r="3844" spans="27:30" ht="15">
      <c r="AA3844"/>
      <c r="AB3844"/>
      <c r="AC3844"/>
      <c r="AD3844"/>
    </row>
    <row r="3845" spans="27:30" ht="15">
      <c r="AA3845"/>
      <c r="AB3845"/>
      <c r="AC3845"/>
      <c r="AD3845"/>
    </row>
    <row r="3846" spans="27:30" ht="15">
      <c r="AA3846"/>
      <c r="AB3846"/>
      <c r="AC3846"/>
      <c r="AD3846"/>
    </row>
    <row r="3847" spans="27:30" ht="15">
      <c r="AA3847"/>
      <c r="AB3847"/>
      <c r="AC3847"/>
      <c r="AD3847"/>
    </row>
    <row r="3848" spans="27:30" ht="15">
      <c r="AA3848"/>
      <c r="AB3848"/>
      <c r="AC3848"/>
      <c r="AD3848"/>
    </row>
    <row r="3849" spans="27:30" ht="15">
      <c r="AA3849"/>
      <c r="AB3849"/>
      <c r="AC3849"/>
      <c r="AD3849"/>
    </row>
    <row r="3850" spans="27:30" ht="15">
      <c r="AA3850"/>
      <c r="AB3850"/>
      <c r="AC3850"/>
      <c r="AD3850"/>
    </row>
    <row r="3851" spans="27:30" ht="15">
      <c r="AA3851"/>
      <c r="AB3851"/>
      <c r="AC3851"/>
      <c r="AD3851"/>
    </row>
    <row r="3852" spans="27:30" ht="15">
      <c r="AA3852"/>
      <c r="AB3852"/>
      <c r="AC3852"/>
      <c r="AD3852"/>
    </row>
    <row r="3853" spans="27:30" ht="15">
      <c r="AA3853"/>
      <c r="AB3853"/>
      <c r="AC3853"/>
      <c r="AD3853"/>
    </row>
    <row r="3854" spans="27:30" ht="15">
      <c r="AA3854"/>
      <c r="AB3854"/>
      <c r="AC3854"/>
      <c r="AD3854"/>
    </row>
    <row r="3855" spans="27:30" ht="15">
      <c r="AA3855"/>
      <c r="AB3855"/>
      <c r="AC3855"/>
      <c r="AD3855"/>
    </row>
    <row r="3856" spans="27:30" ht="15">
      <c r="AA3856"/>
      <c r="AB3856"/>
      <c r="AC3856"/>
      <c r="AD3856"/>
    </row>
    <row r="3857" spans="27:30" ht="15">
      <c r="AA3857"/>
      <c r="AB3857"/>
      <c r="AC3857"/>
      <c r="AD3857"/>
    </row>
    <row r="3858" spans="27:30" ht="15">
      <c r="AA3858"/>
      <c r="AB3858"/>
      <c r="AC3858"/>
      <c r="AD3858"/>
    </row>
    <row r="3859" spans="27:30" ht="15">
      <c r="AA3859"/>
      <c r="AB3859"/>
      <c r="AC3859"/>
      <c r="AD3859"/>
    </row>
    <row r="3860" spans="27:30" ht="15">
      <c r="AA3860"/>
      <c r="AB3860"/>
      <c r="AC3860"/>
      <c r="AD3860"/>
    </row>
    <row r="3861" spans="27:30" ht="15">
      <c r="AA3861"/>
      <c r="AB3861"/>
      <c r="AC3861"/>
      <c r="AD3861"/>
    </row>
    <row r="3862" spans="27:30" ht="15">
      <c r="AA3862"/>
      <c r="AB3862"/>
      <c r="AC3862"/>
      <c r="AD3862"/>
    </row>
    <row r="3863" spans="27:30" ht="15">
      <c r="AA3863"/>
      <c r="AB3863"/>
      <c r="AC3863"/>
      <c r="AD3863"/>
    </row>
    <row r="3864" spans="27:30" ht="15">
      <c r="AA3864"/>
      <c r="AB3864"/>
      <c r="AC3864"/>
      <c r="AD3864"/>
    </row>
    <row r="3865" spans="27:30" ht="15">
      <c r="AA3865"/>
      <c r="AB3865"/>
      <c r="AC3865"/>
      <c r="AD3865"/>
    </row>
    <row r="3866" spans="27:30" ht="15">
      <c r="AA3866"/>
      <c r="AB3866"/>
      <c r="AC3866"/>
      <c r="AD3866"/>
    </row>
    <row r="3867" spans="27:30" ht="15">
      <c r="AA3867"/>
      <c r="AB3867"/>
      <c r="AC3867"/>
      <c r="AD3867"/>
    </row>
    <row r="3868" spans="27:30" ht="15">
      <c r="AA3868"/>
      <c r="AB3868"/>
      <c r="AC3868"/>
      <c r="AD3868"/>
    </row>
    <row r="3869" spans="27:30" ht="15">
      <c r="AA3869"/>
      <c r="AB3869"/>
      <c r="AC3869"/>
      <c r="AD3869"/>
    </row>
    <row r="3870" spans="27:30" ht="15">
      <c r="AA3870"/>
      <c r="AB3870"/>
      <c r="AC3870"/>
      <c r="AD3870"/>
    </row>
    <row r="3871" spans="27:30" ht="15">
      <c r="AA3871"/>
      <c r="AB3871"/>
      <c r="AC3871"/>
      <c r="AD3871"/>
    </row>
    <row r="3872" spans="27:30" ht="15">
      <c r="AA3872"/>
      <c r="AB3872"/>
      <c r="AC3872"/>
      <c r="AD3872"/>
    </row>
    <row r="3873" spans="27:30" ht="15">
      <c r="AA3873"/>
      <c r="AB3873"/>
      <c r="AC3873"/>
      <c r="AD3873"/>
    </row>
    <row r="3874" spans="27:30" ht="15">
      <c r="AA3874"/>
      <c r="AB3874"/>
      <c r="AC3874"/>
      <c r="AD3874"/>
    </row>
    <row r="3875" spans="27:30" ht="15">
      <c r="AA3875"/>
      <c r="AB3875"/>
      <c r="AC3875"/>
      <c r="AD3875"/>
    </row>
    <row r="3876" spans="27:30" ht="15">
      <c r="AA3876"/>
      <c r="AB3876"/>
      <c r="AC3876"/>
      <c r="AD3876"/>
    </row>
    <row r="3877" spans="27:30" ht="15">
      <c r="AA3877"/>
      <c r="AB3877"/>
      <c r="AC3877"/>
      <c r="AD3877"/>
    </row>
    <row r="3878" spans="27:30" ht="15">
      <c r="AA3878"/>
      <c r="AB3878"/>
      <c r="AC3878"/>
      <c r="AD3878"/>
    </row>
    <row r="3879" spans="27:30" ht="15">
      <c r="AA3879"/>
      <c r="AB3879"/>
      <c r="AC3879"/>
      <c r="AD3879"/>
    </row>
    <row r="3880" spans="27:30" ht="15">
      <c r="AA3880"/>
      <c r="AB3880"/>
      <c r="AC3880"/>
      <c r="AD3880"/>
    </row>
    <row r="3881" spans="27:30" ht="15">
      <c r="AA3881"/>
      <c r="AB3881"/>
      <c r="AC3881"/>
      <c r="AD3881"/>
    </row>
    <row r="3882" spans="27:30" ht="15">
      <c r="AA3882"/>
      <c r="AB3882"/>
      <c r="AC3882"/>
      <c r="AD3882"/>
    </row>
    <row r="3883" spans="27:30" ht="15">
      <c r="AA3883"/>
      <c r="AB3883"/>
      <c r="AC3883"/>
      <c r="AD3883"/>
    </row>
    <row r="3884" spans="27:30" ht="15">
      <c r="AA3884"/>
      <c r="AB3884"/>
      <c r="AC3884"/>
      <c r="AD3884"/>
    </row>
    <row r="3885" spans="27:30" ht="15">
      <c r="AA3885"/>
      <c r="AB3885"/>
      <c r="AC3885"/>
      <c r="AD3885"/>
    </row>
    <row r="3886" spans="27:30" ht="15">
      <c r="AA3886"/>
      <c r="AB3886"/>
      <c r="AC3886"/>
      <c r="AD3886"/>
    </row>
    <row r="3887" spans="27:30" ht="15">
      <c r="AA3887"/>
      <c r="AB3887"/>
      <c r="AC3887"/>
      <c r="AD3887"/>
    </row>
    <row r="3888" spans="27:30" ht="15">
      <c r="AA3888"/>
      <c r="AB3888"/>
      <c r="AC3888"/>
      <c r="AD3888"/>
    </row>
    <row r="3889" spans="27:30" ht="15">
      <c r="AA3889"/>
      <c r="AB3889"/>
      <c r="AC3889"/>
      <c r="AD3889"/>
    </row>
    <row r="3890" spans="27:30" ht="15">
      <c r="AA3890"/>
      <c r="AB3890"/>
      <c r="AC3890"/>
      <c r="AD3890"/>
    </row>
    <row r="3891" spans="27:30" ht="15">
      <c r="AA3891"/>
      <c r="AB3891"/>
      <c r="AC3891"/>
      <c r="AD3891"/>
    </row>
    <row r="3892" spans="27:30" ht="15">
      <c r="AA3892"/>
      <c r="AB3892"/>
      <c r="AC3892"/>
      <c r="AD3892"/>
    </row>
    <row r="3893" spans="27:30" ht="15">
      <c r="AA3893"/>
      <c r="AB3893"/>
      <c r="AC3893"/>
      <c r="AD3893"/>
    </row>
    <row r="3894" spans="27:30" ht="15">
      <c r="AA3894"/>
      <c r="AB3894"/>
      <c r="AC3894"/>
      <c r="AD3894"/>
    </row>
    <row r="3895" spans="27:30" ht="15">
      <c r="AA3895"/>
      <c r="AB3895"/>
      <c r="AC3895"/>
      <c r="AD3895"/>
    </row>
    <row r="3896" spans="27:30" ht="15">
      <c r="AA3896"/>
      <c r="AB3896"/>
      <c r="AC3896"/>
      <c r="AD3896"/>
    </row>
    <row r="3897" spans="27:30" ht="15">
      <c r="AA3897"/>
      <c r="AB3897"/>
      <c r="AC3897"/>
      <c r="AD3897"/>
    </row>
    <row r="3898" spans="27:30" ht="15">
      <c r="AA3898"/>
      <c r="AB3898"/>
      <c r="AC3898"/>
      <c r="AD3898"/>
    </row>
    <row r="3899" spans="27:30" ht="15">
      <c r="AA3899"/>
      <c r="AB3899"/>
      <c r="AC3899"/>
      <c r="AD3899"/>
    </row>
    <row r="3900" spans="27:30" ht="15">
      <c r="AA3900"/>
      <c r="AB3900"/>
      <c r="AC3900"/>
      <c r="AD3900"/>
    </row>
    <row r="3901" spans="27:30" ht="15">
      <c r="AA3901"/>
      <c r="AB3901"/>
      <c r="AC3901"/>
      <c r="AD3901"/>
    </row>
    <row r="3902" spans="27:30" ht="15">
      <c r="AA3902"/>
      <c r="AB3902"/>
      <c r="AC3902"/>
      <c r="AD3902"/>
    </row>
    <row r="3903" spans="27:30" ht="15">
      <c r="AA3903"/>
      <c r="AB3903"/>
      <c r="AC3903"/>
      <c r="AD3903"/>
    </row>
    <row r="3904" spans="27:30" ht="15">
      <c r="AA3904"/>
      <c r="AB3904"/>
      <c r="AC3904"/>
      <c r="AD3904"/>
    </row>
    <row r="3905" spans="27:30" ht="15">
      <c r="AA3905"/>
      <c r="AB3905"/>
      <c r="AC3905"/>
      <c r="AD3905"/>
    </row>
    <row r="3906" spans="27:30" ht="15">
      <c r="AA3906"/>
      <c r="AB3906"/>
      <c r="AC3906"/>
      <c r="AD3906"/>
    </row>
    <row r="3907" spans="27:30" ht="15">
      <c r="AA3907"/>
      <c r="AB3907"/>
      <c r="AC3907"/>
      <c r="AD3907"/>
    </row>
    <row r="3908" spans="27:30" ht="15">
      <c r="AA3908"/>
      <c r="AB3908"/>
      <c r="AC3908"/>
      <c r="AD3908"/>
    </row>
    <row r="3909" spans="27:30" ht="15">
      <c r="AA3909"/>
      <c r="AB3909"/>
      <c r="AC3909"/>
      <c r="AD3909"/>
    </row>
    <row r="3910" spans="27:30" ht="15">
      <c r="AA3910"/>
      <c r="AB3910"/>
      <c r="AC3910"/>
      <c r="AD3910"/>
    </row>
    <row r="3911" spans="27:30" ht="15">
      <c r="AA3911"/>
      <c r="AB3911"/>
      <c r="AC3911"/>
      <c r="AD3911"/>
    </row>
    <row r="3912" spans="27:30" ht="15">
      <c r="AA3912"/>
      <c r="AB3912"/>
      <c r="AC3912"/>
      <c r="AD3912"/>
    </row>
    <row r="3913" spans="27:30" ht="15">
      <c r="AA3913"/>
      <c r="AB3913"/>
      <c r="AC3913"/>
      <c r="AD3913"/>
    </row>
    <row r="3914" spans="27:30" ht="15">
      <c r="AA3914"/>
      <c r="AB3914"/>
      <c r="AC3914"/>
      <c r="AD3914"/>
    </row>
    <row r="3915" spans="27:30" ht="15">
      <c r="AA3915"/>
      <c r="AB3915"/>
      <c r="AC3915"/>
      <c r="AD3915"/>
    </row>
    <row r="3916" spans="27:30" ht="15">
      <c r="AA3916"/>
      <c r="AB3916"/>
      <c r="AC3916"/>
      <c r="AD3916"/>
    </row>
    <row r="3917" spans="27:30" ht="15">
      <c r="AA3917"/>
      <c r="AB3917"/>
      <c r="AC3917"/>
      <c r="AD3917"/>
    </row>
    <row r="3918" spans="27:30" ht="15">
      <c r="AA3918"/>
      <c r="AB3918"/>
      <c r="AC3918"/>
      <c r="AD3918"/>
    </row>
    <row r="3919" spans="27:30" ht="15">
      <c r="AA3919"/>
      <c r="AB3919"/>
      <c r="AC3919"/>
      <c r="AD3919"/>
    </row>
    <row r="3920" spans="27:30" ht="15">
      <c r="AA3920"/>
      <c r="AB3920"/>
      <c r="AC3920"/>
      <c r="AD3920"/>
    </row>
    <row r="3921" spans="27:30" ht="15">
      <c r="AA3921"/>
      <c r="AB3921"/>
      <c r="AC3921"/>
      <c r="AD3921"/>
    </row>
    <row r="3922" spans="27:30" ht="15">
      <c r="AA3922"/>
      <c r="AB3922"/>
      <c r="AC3922"/>
      <c r="AD3922"/>
    </row>
    <row r="3923" spans="27:30" ht="15">
      <c r="AA3923"/>
      <c r="AB3923"/>
      <c r="AC3923"/>
      <c r="AD3923"/>
    </row>
    <row r="3924" spans="27:30" ht="15">
      <c r="AA3924"/>
      <c r="AB3924"/>
      <c r="AC3924"/>
      <c r="AD3924"/>
    </row>
    <row r="3925" spans="27:30" ht="15">
      <c r="AA3925"/>
      <c r="AB3925"/>
      <c r="AC3925"/>
      <c r="AD3925"/>
    </row>
    <row r="3926" spans="27:30" ht="15">
      <c r="AA3926"/>
      <c r="AB3926"/>
      <c r="AC3926"/>
      <c r="AD3926"/>
    </row>
    <row r="3927" spans="27:30" ht="15">
      <c r="AA3927"/>
      <c r="AB3927"/>
      <c r="AC3927"/>
      <c r="AD3927"/>
    </row>
    <row r="3928" spans="27:30" ht="15">
      <c r="AA3928"/>
      <c r="AB3928"/>
      <c r="AC3928"/>
      <c r="AD3928"/>
    </row>
    <row r="3929" spans="27:30" ht="15">
      <c r="AA3929"/>
      <c r="AB3929"/>
      <c r="AC3929"/>
      <c r="AD3929"/>
    </row>
    <row r="3930" spans="27:30" ht="15">
      <c r="AA3930"/>
      <c r="AB3930"/>
      <c r="AC3930"/>
      <c r="AD3930"/>
    </row>
    <row r="3931" spans="27:30" ht="15">
      <c r="AA3931"/>
      <c r="AB3931"/>
      <c r="AC3931"/>
      <c r="AD3931"/>
    </row>
    <row r="3932" spans="27:30" ht="15">
      <c r="AA3932"/>
      <c r="AB3932"/>
      <c r="AC3932"/>
      <c r="AD3932"/>
    </row>
    <row r="3933" spans="27:30" ht="15">
      <c r="AA3933"/>
      <c r="AB3933"/>
      <c r="AC3933"/>
      <c r="AD3933"/>
    </row>
    <row r="3934" spans="27:30" ht="15">
      <c r="AA3934"/>
      <c r="AB3934"/>
      <c r="AC3934"/>
      <c r="AD3934"/>
    </row>
    <row r="3935" spans="27:30" ht="15">
      <c r="AA3935"/>
      <c r="AB3935"/>
      <c r="AC3935"/>
      <c r="AD3935"/>
    </row>
    <row r="3936" spans="27:30" ht="15">
      <c r="AA3936"/>
      <c r="AB3936"/>
      <c r="AC3936"/>
      <c r="AD3936"/>
    </row>
    <row r="3937" spans="27:30" ht="15">
      <c r="AA3937"/>
      <c r="AB3937"/>
      <c r="AC3937"/>
      <c r="AD3937"/>
    </row>
    <row r="3938" spans="27:30" ht="15">
      <c r="AA3938"/>
      <c r="AB3938"/>
      <c r="AC3938"/>
      <c r="AD3938"/>
    </row>
    <row r="3939" spans="27:30" ht="15">
      <c r="AA3939"/>
      <c r="AB3939"/>
      <c r="AC3939"/>
      <c r="AD3939"/>
    </row>
    <row r="3940" spans="27:30" ht="15">
      <c r="AA3940"/>
      <c r="AB3940"/>
      <c r="AC3940"/>
      <c r="AD3940"/>
    </row>
    <row r="3941" spans="27:30" ht="15">
      <c r="AA3941"/>
      <c r="AB3941"/>
      <c r="AC3941"/>
      <c r="AD3941"/>
    </row>
    <row r="3942" spans="27:30" ht="15">
      <c r="AA3942"/>
      <c r="AB3942"/>
      <c r="AC3942"/>
      <c r="AD3942"/>
    </row>
    <row r="3943" spans="27:30" ht="15">
      <c r="AA3943"/>
      <c r="AB3943"/>
      <c r="AC3943"/>
      <c r="AD3943"/>
    </row>
    <row r="3944" spans="27:30" ht="15">
      <c r="AA3944"/>
      <c r="AB3944"/>
      <c r="AC3944"/>
      <c r="AD3944"/>
    </row>
    <row r="3945" spans="27:30" ht="15">
      <c r="AA3945"/>
      <c r="AB3945"/>
      <c r="AC3945"/>
      <c r="AD3945"/>
    </row>
    <row r="3946" spans="27:30" ht="15">
      <c r="AA3946"/>
      <c r="AB3946"/>
      <c r="AC3946"/>
      <c r="AD3946"/>
    </row>
    <row r="3947" spans="27:30" ht="15">
      <c r="AA3947"/>
      <c r="AB3947"/>
      <c r="AC3947"/>
      <c r="AD3947"/>
    </row>
    <row r="3948" spans="27:30" ht="15">
      <c r="AA3948"/>
      <c r="AB3948"/>
      <c r="AC3948"/>
      <c r="AD3948"/>
    </row>
    <row r="3949" spans="27:30" ht="15">
      <c r="AA3949"/>
      <c r="AB3949"/>
      <c r="AC3949"/>
      <c r="AD3949"/>
    </row>
    <row r="3950" spans="27:30" ht="15">
      <c r="AA3950"/>
      <c r="AB3950"/>
      <c r="AC3950"/>
      <c r="AD3950"/>
    </row>
    <row r="3951" spans="27:30" ht="15">
      <c r="AA3951"/>
      <c r="AB3951"/>
      <c r="AC3951"/>
      <c r="AD3951"/>
    </row>
    <row r="3952" spans="27:30" ht="15">
      <c r="AA3952"/>
      <c r="AB3952"/>
      <c r="AC3952"/>
      <c r="AD3952"/>
    </row>
    <row r="3953" spans="27:30" ht="15">
      <c r="AA3953"/>
      <c r="AB3953"/>
      <c r="AC3953"/>
      <c r="AD3953"/>
    </row>
    <row r="3954" spans="27:30" ht="15">
      <c r="AA3954"/>
      <c r="AB3954"/>
      <c r="AC3954"/>
      <c r="AD3954"/>
    </row>
    <row r="3955" spans="27:30" ht="15">
      <c r="AA3955"/>
      <c r="AB3955"/>
      <c r="AC3955"/>
      <c r="AD3955"/>
    </row>
    <row r="3956" spans="27:30" ht="15">
      <c r="AA3956"/>
      <c r="AB3956"/>
      <c r="AC3956"/>
      <c r="AD3956"/>
    </row>
    <row r="3957" spans="27:30" ht="15">
      <c r="AA3957"/>
      <c r="AB3957"/>
      <c r="AC3957"/>
      <c r="AD3957"/>
    </row>
    <row r="3958" spans="27:30" ht="15">
      <c r="AA3958"/>
      <c r="AB3958"/>
      <c r="AC3958"/>
      <c r="AD3958"/>
    </row>
    <row r="3959" spans="27:30" ht="15">
      <c r="AA3959"/>
      <c r="AB3959"/>
      <c r="AC3959"/>
      <c r="AD3959"/>
    </row>
    <row r="3960" spans="27:30" ht="15">
      <c r="AA3960"/>
      <c r="AB3960"/>
      <c r="AC3960"/>
      <c r="AD3960"/>
    </row>
    <row r="3961" spans="27:30" ht="15">
      <c r="AA3961"/>
      <c r="AB3961"/>
      <c r="AC3961"/>
      <c r="AD3961"/>
    </row>
    <row r="3962" spans="27:30" ht="15">
      <c r="AA3962"/>
      <c r="AB3962"/>
      <c r="AC3962"/>
      <c r="AD3962"/>
    </row>
    <row r="3963" spans="27:30" ht="15">
      <c r="AA3963"/>
      <c r="AB3963"/>
      <c r="AC3963"/>
      <c r="AD3963"/>
    </row>
    <row r="3964" spans="27:30" ht="15">
      <c r="AA3964"/>
      <c r="AB3964"/>
      <c r="AC3964"/>
      <c r="AD3964"/>
    </row>
    <row r="3965" spans="27:30" ht="15">
      <c r="AA3965"/>
      <c r="AB3965"/>
      <c r="AC3965"/>
      <c r="AD3965"/>
    </row>
    <row r="3966" spans="27:30" ht="15">
      <c r="AA3966"/>
      <c r="AB3966"/>
      <c r="AC3966"/>
      <c r="AD3966"/>
    </row>
    <row r="3967" spans="27:30" ht="15">
      <c r="AA3967"/>
      <c r="AB3967"/>
      <c r="AC3967"/>
      <c r="AD3967"/>
    </row>
    <row r="3968" spans="27:30" ht="15">
      <c r="AA3968"/>
      <c r="AB3968"/>
      <c r="AC3968"/>
      <c r="AD3968"/>
    </row>
    <row r="3969" spans="27:30" ht="15">
      <c r="AA3969"/>
      <c r="AB3969"/>
      <c r="AC3969"/>
      <c r="AD3969"/>
    </row>
    <row r="3970" spans="27:30" ht="15">
      <c r="AA3970"/>
      <c r="AB3970"/>
      <c r="AC3970"/>
      <c r="AD3970"/>
    </row>
    <row r="3971" spans="27:30" ht="15">
      <c r="AA3971"/>
      <c r="AB3971"/>
      <c r="AC3971"/>
      <c r="AD3971"/>
    </row>
    <row r="3972" spans="27:30" ht="15">
      <c r="AA3972"/>
      <c r="AB3972"/>
      <c r="AC3972"/>
      <c r="AD3972"/>
    </row>
    <row r="3973" spans="27:30" ht="15">
      <c r="AA3973"/>
      <c r="AB3973"/>
      <c r="AC3973"/>
      <c r="AD3973"/>
    </row>
    <row r="3974" spans="27:30" ht="15">
      <c r="AA3974"/>
      <c r="AB3974"/>
      <c r="AC3974"/>
      <c r="AD3974"/>
    </row>
    <row r="3975" spans="27:30" ht="15">
      <c r="AA3975"/>
      <c r="AB3975"/>
      <c r="AC3975"/>
      <c r="AD3975"/>
    </row>
    <row r="3976" spans="27:30" ht="15">
      <c r="AA3976"/>
      <c r="AB3976"/>
      <c r="AC3976"/>
      <c r="AD3976"/>
    </row>
    <row r="3977" spans="27:30" ht="15">
      <c r="AA3977"/>
      <c r="AB3977"/>
      <c r="AC3977"/>
      <c r="AD3977"/>
    </row>
    <row r="3978" spans="27:30" ht="15">
      <c r="AA3978"/>
      <c r="AB3978"/>
      <c r="AC3978"/>
      <c r="AD3978"/>
    </row>
    <row r="3979" spans="27:30" ht="15">
      <c r="AA3979"/>
      <c r="AB3979"/>
      <c r="AC3979"/>
      <c r="AD3979"/>
    </row>
    <row r="3980" spans="27:30" ht="15">
      <c r="AA3980"/>
      <c r="AB3980"/>
      <c r="AC3980"/>
      <c r="AD3980"/>
    </row>
    <row r="3981" spans="27:30" ht="15">
      <c r="AA3981"/>
      <c r="AB3981"/>
      <c r="AC3981"/>
      <c r="AD3981"/>
    </row>
    <row r="3982" spans="27:30" ht="15">
      <c r="AA3982"/>
      <c r="AB3982"/>
      <c r="AC3982"/>
      <c r="AD3982"/>
    </row>
    <row r="3983" spans="27:30" ht="15">
      <c r="AA3983"/>
      <c r="AB3983"/>
      <c r="AC3983"/>
      <c r="AD3983"/>
    </row>
    <row r="3984" spans="27:30" ht="15">
      <c r="AA3984"/>
      <c r="AB3984"/>
      <c r="AC3984"/>
      <c r="AD3984"/>
    </row>
    <row r="3985" spans="27:30" ht="15">
      <c r="AA3985"/>
      <c r="AB3985"/>
      <c r="AC3985"/>
      <c r="AD3985"/>
    </row>
    <row r="3986" spans="27:30" ht="15">
      <c r="AA3986"/>
      <c r="AB3986"/>
      <c r="AC3986"/>
      <c r="AD3986"/>
    </row>
    <row r="3987" spans="27:30" ht="15">
      <c r="AA3987"/>
      <c r="AB3987"/>
      <c r="AC3987"/>
      <c r="AD3987"/>
    </row>
    <row r="3988" spans="27:30" ht="15">
      <c r="AA3988"/>
      <c r="AB3988"/>
      <c r="AC3988"/>
      <c r="AD3988"/>
    </row>
    <row r="3989" spans="27:30" ht="15">
      <c r="AA3989"/>
      <c r="AB3989"/>
      <c r="AC3989"/>
      <c r="AD3989"/>
    </row>
    <row r="3990" spans="27:30" ht="15">
      <c r="AA3990"/>
      <c r="AB3990"/>
      <c r="AC3990"/>
      <c r="AD3990"/>
    </row>
    <row r="3991" spans="27:30" ht="15">
      <c r="AA3991"/>
      <c r="AB3991"/>
      <c r="AC3991"/>
      <c r="AD3991"/>
    </row>
    <row r="3992" spans="27:30" ht="15">
      <c r="AA3992"/>
      <c r="AB3992"/>
      <c r="AC3992"/>
      <c r="AD3992"/>
    </row>
    <row r="3993" spans="27:30" ht="15">
      <c r="AA3993"/>
      <c r="AB3993"/>
      <c r="AC3993"/>
      <c r="AD3993"/>
    </row>
    <row r="3994" spans="27:30" ht="15">
      <c r="AA3994"/>
      <c r="AB3994"/>
      <c r="AC3994"/>
      <c r="AD3994"/>
    </row>
    <row r="3995" spans="27:30" ht="15">
      <c r="AA3995"/>
      <c r="AB3995"/>
      <c r="AC3995"/>
      <c r="AD3995"/>
    </row>
    <row r="3996" spans="27:30" ht="15">
      <c r="AA3996"/>
      <c r="AB3996"/>
      <c r="AC3996"/>
      <c r="AD3996"/>
    </row>
    <row r="3997" spans="27:30" ht="15">
      <c r="AA3997"/>
      <c r="AB3997"/>
      <c r="AC3997"/>
      <c r="AD3997"/>
    </row>
    <row r="3998" spans="27:30" ht="15">
      <c r="AA3998"/>
      <c r="AB3998"/>
      <c r="AC3998"/>
      <c r="AD3998"/>
    </row>
    <row r="3999" spans="27:30" ht="15">
      <c r="AA3999"/>
      <c r="AB3999"/>
      <c r="AC3999"/>
      <c r="AD3999"/>
    </row>
    <row r="4000" spans="27:30" ht="15">
      <c r="AA4000"/>
      <c r="AB4000"/>
      <c r="AC4000"/>
      <c r="AD4000"/>
    </row>
    <row r="4001" spans="27:30" ht="15">
      <c r="AA4001"/>
      <c r="AB4001"/>
      <c r="AC4001"/>
      <c r="AD4001"/>
    </row>
    <row r="4002" spans="27:30" ht="15">
      <c r="AA4002"/>
      <c r="AB4002"/>
      <c r="AC4002"/>
      <c r="AD4002"/>
    </row>
    <row r="4003" spans="27:30" ht="15">
      <c r="AA4003"/>
      <c r="AB4003"/>
      <c r="AC4003"/>
      <c r="AD4003"/>
    </row>
    <row r="4004" spans="27:30" ht="15">
      <c r="AA4004"/>
      <c r="AB4004"/>
      <c r="AC4004"/>
      <c r="AD4004"/>
    </row>
    <row r="4005" spans="27:30" ht="15">
      <c r="AA4005"/>
      <c r="AB4005"/>
      <c r="AC4005"/>
      <c r="AD4005"/>
    </row>
    <row r="4006" spans="27:30" ht="15">
      <c r="AA4006"/>
      <c r="AB4006"/>
      <c r="AC4006"/>
      <c r="AD4006"/>
    </row>
    <row r="4007" spans="27:30" ht="15">
      <c r="AA4007"/>
      <c r="AB4007"/>
      <c r="AC4007"/>
      <c r="AD4007"/>
    </row>
    <row r="4008" spans="27:30" ht="15">
      <c r="AA4008"/>
      <c r="AB4008"/>
      <c r="AC4008"/>
      <c r="AD4008"/>
    </row>
    <row r="4009" spans="27:30" ht="15">
      <c r="AA4009"/>
      <c r="AB4009"/>
      <c r="AC4009"/>
      <c r="AD4009"/>
    </row>
    <row r="4010" spans="27:30" ht="15">
      <c r="AA4010"/>
      <c r="AB4010"/>
      <c r="AC4010"/>
      <c r="AD4010"/>
    </row>
    <row r="4011" spans="27:30" ht="15">
      <c r="AA4011"/>
      <c r="AB4011"/>
      <c r="AC4011"/>
      <c r="AD4011"/>
    </row>
    <row r="4012" spans="27:30" ht="15">
      <c r="AA4012"/>
      <c r="AB4012"/>
      <c r="AC4012"/>
      <c r="AD4012"/>
    </row>
    <row r="4013" spans="27:30" ht="15">
      <c r="AA4013"/>
      <c r="AB4013"/>
      <c r="AC4013"/>
      <c r="AD4013"/>
    </row>
    <row r="4014" spans="27:30" ht="15">
      <c r="AA4014"/>
      <c r="AB4014"/>
      <c r="AC4014"/>
      <c r="AD4014"/>
    </row>
    <row r="4015" spans="27:30" ht="15">
      <c r="AA4015"/>
      <c r="AB4015"/>
      <c r="AC4015"/>
      <c r="AD4015"/>
    </row>
    <row r="4016" spans="27:30" ht="15">
      <c r="AA4016"/>
      <c r="AB4016"/>
      <c r="AC4016"/>
      <c r="AD4016"/>
    </row>
    <row r="4017" spans="27:30" ht="15">
      <c r="AA4017"/>
      <c r="AB4017"/>
      <c r="AC4017"/>
      <c r="AD4017"/>
    </row>
    <row r="4018" spans="27:30" ht="15">
      <c r="AA4018"/>
      <c r="AB4018"/>
      <c r="AC4018"/>
      <c r="AD4018"/>
    </row>
    <row r="4019" spans="27:30" ht="15">
      <c r="AA4019"/>
      <c r="AB4019"/>
      <c r="AC4019"/>
      <c r="AD4019"/>
    </row>
    <row r="4020" spans="27:30" ht="15">
      <c r="AA4020"/>
      <c r="AB4020"/>
      <c r="AC4020"/>
      <c r="AD4020"/>
    </row>
    <row r="4021" spans="27:30" ht="15">
      <c r="AA4021"/>
      <c r="AB4021"/>
      <c r="AC4021"/>
      <c r="AD4021"/>
    </row>
    <row r="4022" spans="27:30" ht="15">
      <c r="AA4022"/>
      <c r="AB4022"/>
      <c r="AC4022"/>
      <c r="AD4022"/>
    </row>
    <row r="4023" spans="27:30" ht="15">
      <c r="AA4023"/>
      <c r="AB4023"/>
      <c r="AC4023"/>
      <c r="AD4023"/>
    </row>
    <row r="4024" spans="27:30" ht="15">
      <c r="AA4024"/>
      <c r="AB4024"/>
      <c r="AC4024"/>
      <c r="AD4024"/>
    </row>
    <row r="4025" spans="27:30" ht="15">
      <c r="AA4025"/>
      <c r="AB4025"/>
      <c r="AC4025"/>
      <c r="AD4025"/>
    </row>
    <row r="4026" spans="27:30" ht="15">
      <c r="AA4026"/>
      <c r="AB4026"/>
      <c r="AC4026"/>
      <c r="AD4026"/>
    </row>
    <row r="4027" spans="27:30" ht="15">
      <c r="AA4027"/>
      <c r="AB4027"/>
      <c r="AC4027"/>
      <c r="AD4027"/>
    </row>
    <row r="4028" spans="27:30" ht="15">
      <c r="AA4028"/>
      <c r="AB4028"/>
      <c r="AC4028"/>
      <c r="AD4028"/>
    </row>
    <row r="4029" spans="27:30" ht="15">
      <c r="AA4029"/>
      <c r="AB4029"/>
      <c r="AC4029"/>
      <c r="AD4029"/>
    </row>
    <row r="4030" spans="27:30" ht="15">
      <c r="AA4030"/>
      <c r="AB4030"/>
      <c r="AC4030"/>
      <c r="AD4030"/>
    </row>
    <row r="4031" spans="27:30" ht="15">
      <c r="AA4031"/>
      <c r="AB4031"/>
      <c r="AC4031"/>
      <c r="AD4031"/>
    </row>
    <row r="4032" spans="27:30" ht="15">
      <c r="AA4032"/>
      <c r="AB4032"/>
      <c r="AC4032"/>
      <c r="AD4032"/>
    </row>
    <row r="4033" spans="27:30" ht="15">
      <c r="AA4033"/>
      <c r="AB4033"/>
      <c r="AC4033"/>
      <c r="AD4033"/>
    </row>
    <row r="4034" spans="27:30" ht="15">
      <c r="AA4034"/>
      <c r="AB4034"/>
      <c r="AC4034"/>
      <c r="AD4034"/>
    </row>
    <row r="4035" spans="27:30" ht="15">
      <c r="AA4035"/>
      <c r="AB4035"/>
      <c r="AC4035"/>
      <c r="AD4035"/>
    </row>
    <row r="4036" spans="27:30" ht="15">
      <c r="AA4036"/>
      <c r="AB4036"/>
      <c r="AC4036"/>
      <c r="AD4036"/>
    </row>
    <row r="4037" spans="27:30" ht="15">
      <c r="AA4037"/>
      <c r="AB4037"/>
      <c r="AC4037"/>
      <c r="AD4037"/>
    </row>
    <row r="4038" spans="27:30" ht="15">
      <c r="AA4038"/>
      <c r="AB4038"/>
      <c r="AC4038"/>
      <c r="AD4038"/>
    </row>
    <row r="4039" spans="27:30" ht="15">
      <c r="AA4039"/>
      <c r="AB4039"/>
      <c r="AC4039"/>
      <c r="AD4039"/>
    </row>
    <row r="4040" spans="27:30" ht="15">
      <c r="AA4040"/>
      <c r="AB4040"/>
      <c r="AC4040"/>
      <c r="AD4040"/>
    </row>
    <row r="4041" spans="27:30" ht="15">
      <c r="AA4041"/>
      <c r="AB4041"/>
      <c r="AC4041"/>
      <c r="AD4041"/>
    </row>
    <row r="4042" spans="27:30" ht="15">
      <c r="AA4042"/>
      <c r="AB4042"/>
      <c r="AC4042"/>
      <c r="AD4042"/>
    </row>
    <row r="4043" spans="27:30" ht="15">
      <c r="AA4043"/>
      <c r="AB4043"/>
      <c r="AC4043"/>
      <c r="AD4043"/>
    </row>
    <row r="4044" spans="27:30" ht="15">
      <c r="AA4044"/>
      <c r="AB4044"/>
      <c r="AC4044"/>
      <c r="AD4044"/>
    </row>
    <row r="4045" spans="27:30" ht="15">
      <c r="AA4045"/>
      <c r="AB4045"/>
      <c r="AC4045"/>
      <c r="AD4045"/>
    </row>
    <row r="4046" spans="27:30" ht="15">
      <c r="AA4046"/>
      <c r="AB4046"/>
      <c r="AC4046"/>
      <c r="AD4046"/>
    </row>
    <row r="4047" spans="27:30" ht="15">
      <c r="AA4047"/>
      <c r="AB4047"/>
      <c r="AC4047"/>
      <c r="AD4047"/>
    </row>
    <row r="4048" spans="27:30" ht="15">
      <c r="AA4048"/>
      <c r="AB4048"/>
      <c r="AC4048"/>
      <c r="AD4048"/>
    </row>
    <row r="4049" spans="27:30" ht="15">
      <c r="AA4049"/>
      <c r="AB4049"/>
      <c r="AC4049"/>
      <c r="AD4049"/>
    </row>
    <row r="4050" spans="27:30" ht="15">
      <c r="AA4050"/>
      <c r="AB4050"/>
      <c r="AC4050"/>
      <c r="AD4050"/>
    </row>
    <row r="4051" spans="27:30" ht="15">
      <c r="AA4051"/>
      <c r="AB4051"/>
      <c r="AC4051"/>
      <c r="AD4051"/>
    </row>
    <row r="4052" spans="27:30" ht="15">
      <c r="AA4052"/>
      <c r="AB4052"/>
      <c r="AC4052"/>
      <c r="AD4052"/>
    </row>
    <row r="4053" spans="27:30" ht="15">
      <c r="AA4053"/>
      <c r="AB4053"/>
      <c r="AC4053"/>
      <c r="AD4053"/>
    </row>
    <row r="4054" spans="27:30" ht="15">
      <c r="AA4054"/>
      <c r="AB4054"/>
      <c r="AC4054"/>
      <c r="AD4054"/>
    </row>
    <row r="4055" spans="27:30" ht="15">
      <c r="AA4055"/>
      <c r="AB4055"/>
      <c r="AC4055"/>
      <c r="AD4055"/>
    </row>
    <row r="4056" spans="27:30" ht="15">
      <c r="AA4056"/>
      <c r="AB4056"/>
      <c r="AC4056"/>
      <c r="AD4056"/>
    </row>
    <row r="4057" spans="27:30" ht="15">
      <c r="AA4057"/>
      <c r="AB4057"/>
      <c r="AC4057"/>
      <c r="AD4057"/>
    </row>
    <row r="4058" spans="27:30" ht="15">
      <c r="AA4058"/>
      <c r="AB4058"/>
      <c r="AC4058"/>
      <c r="AD4058"/>
    </row>
    <row r="4059" spans="27:30" ht="15">
      <c r="AA4059"/>
      <c r="AB4059"/>
      <c r="AC4059"/>
      <c r="AD4059"/>
    </row>
    <row r="4060" spans="27:30" ht="15">
      <c r="AA4060"/>
      <c r="AB4060"/>
      <c r="AC4060"/>
      <c r="AD4060"/>
    </row>
    <row r="4061" spans="27:30" ht="15">
      <c r="AA4061"/>
      <c r="AB4061"/>
      <c r="AC4061"/>
      <c r="AD4061"/>
    </row>
    <row r="4062" spans="27:30" ht="15">
      <c r="AA4062"/>
      <c r="AB4062"/>
      <c r="AC4062"/>
      <c r="AD4062"/>
    </row>
    <row r="4063" spans="27:30" ht="15">
      <c r="AA4063"/>
      <c r="AB4063"/>
      <c r="AC4063"/>
      <c r="AD4063"/>
    </row>
    <row r="4064" spans="27:30" ht="15">
      <c r="AA4064"/>
      <c r="AB4064"/>
      <c r="AC4064"/>
      <c r="AD4064"/>
    </row>
    <row r="4065" spans="27:30" ht="15">
      <c r="AA4065"/>
      <c r="AB4065"/>
      <c r="AC4065"/>
      <c r="AD4065"/>
    </row>
    <row r="4066" spans="27:30" ht="15">
      <c r="AA4066"/>
      <c r="AB4066"/>
      <c r="AC4066"/>
      <c r="AD4066"/>
    </row>
    <row r="4067" spans="27:30" ht="15">
      <c r="AA4067"/>
      <c r="AB4067"/>
      <c r="AC4067"/>
      <c r="AD4067"/>
    </row>
    <row r="4068" spans="27:30" ht="15">
      <c r="AA4068"/>
      <c r="AB4068"/>
      <c r="AC4068"/>
      <c r="AD4068"/>
    </row>
    <row r="4069" spans="27:30" ht="15">
      <c r="AA4069"/>
      <c r="AB4069"/>
      <c r="AC4069"/>
      <c r="AD4069"/>
    </row>
    <row r="4070" spans="27:30" ht="15">
      <c r="AA4070"/>
      <c r="AB4070"/>
      <c r="AC4070"/>
      <c r="AD4070"/>
    </row>
    <row r="4071" spans="27:30" ht="15">
      <c r="AA4071"/>
      <c r="AB4071"/>
      <c r="AC4071"/>
      <c r="AD4071"/>
    </row>
    <row r="4072" spans="27:30" ht="15">
      <c r="AA4072"/>
      <c r="AB4072"/>
      <c r="AC4072"/>
      <c r="AD4072"/>
    </row>
    <row r="4073" spans="27:30" ht="15">
      <c r="AA4073"/>
      <c r="AB4073"/>
      <c r="AC4073"/>
      <c r="AD4073"/>
    </row>
    <row r="4074" spans="27:30" ht="15">
      <c r="AA4074"/>
      <c r="AB4074"/>
      <c r="AC4074"/>
      <c r="AD4074"/>
    </row>
    <row r="4075" spans="27:30" ht="15">
      <c r="AA4075"/>
      <c r="AB4075"/>
      <c r="AC4075"/>
      <c r="AD4075"/>
    </row>
    <row r="4076" spans="27:30" ht="15">
      <c r="AA4076"/>
      <c r="AB4076"/>
      <c r="AC4076"/>
      <c r="AD4076"/>
    </row>
    <row r="4077" spans="27:30" ht="15">
      <c r="AA4077"/>
      <c r="AB4077"/>
      <c r="AC4077"/>
      <c r="AD4077"/>
    </row>
    <row r="4078" spans="27:30" ht="15">
      <c r="AA4078"/>
      <c r="AB4078"/>
      <c r="AC4078"/>
      <c r="AD4078"/>
    </row>
    <row r="4079" spans="27:30" ht="15">
      <c r="AA4079"/>
      <c r="AB4079"/>
      <c r="AC4079"/>
      <c r="AD4079"/>
    </row>
    <row r="4080" spans="27:30" ht="15">
      <c r="AA4080"/>
      <c r="AB4080"/>
      <c r="AC4080"/>
      <c r="AD4080"/>
    </row>
    <row r="4081" spans="27:30" ht="15">
      <c r="AA4081"/>
      <c r="AB4081"/>
      <c r="AC4081"/>
      <c r="AD4081"/>
    </row>
    <row r="4082" spans="27:30" ht="15">
      <c r="AA4082"/>
      <c r="AB4082"/>
      <c r="AC4082"/>
      <c r="AD4082"/>
    </row>
    <row r="4083" spans="27:30" ht="15">
      <c r="AA4083"/>
      <c r="AB4083"/>
      <c r="AC4083"/>
      <c r="AD4083"/>
    </row>
    <row r="4084" spans="27:30" ht="15">
      <c r="AA4084"/>
      <c r="AB4084"/>
      <c r="AC4084"/>
      <c r="AD4084"/>
    </row>
    <row r="4085" spans="27:30" ht="15">
      <c r="AA4085"/>
      <c r="AB4085"/>
      <c r="AC4085"/>
      <c r="AD4085"/>
    </row>
    <row r="4086" spans="27:30" ht="15">
      <c r="AA4086"/>
      <c r="AB4086"/>
      <c r="AC4086"/>
      <c r="AD4086"/>
    </row>
    <row r="4087" spans="27:30" ht="15">
      <c r="AA4087"/>
      <c r="AB4087"/>
      <c r="AC4087"/>
      <c r="AD4087"/>
    </row>
    <row r="4088" spans="27:30" ht="15">
      <c r="AA4088"/>
      <c r="AB4088"/>
      <c r="AC4088"/>
      <c r="AD4088"/>
    </row>
    <row r="4089" spans="27:30" ht="15">
      <c r="AA4089"/>
      <c r="AB4089"/>
      <c r="AC4089"/>
      <c r="AD4089"/>
    </row>
    <row r="4090" spans="27:30" ht="15">
      <c r="AA4090"/>
      <c r="AB4090"/>
      <c r="AC4090"/>
      <c r="AD4090"/>
    </row>
    <row r="4091" spans="27:30" ht="15">
      <c r="AA4091"/>
      <c r="AB4091"/>
      <c r="AC4091"/>
      <c r="AD4091"/>
    </row>
    <row r="4092" spans="27:30" ht="15">
      <c r="AA4092"/>
      <c r="AB4092"/>
      <c r="AC4092"/>
      <c r="AD4092"/>
    </row>
    <row r="4093" spans="27:30" ht="15">
      <c r="AA4093"/>
      <c r="AB4093"/>
      <c r="AC4093"/>
      <c r="AD4093"/>
    </row>
    <row r="4094" spans="27:30" ht="15">
      <c r="AA4094"/>
      <c r="AB4094"/>
      <c r="AC4094"/>
      <c r="AD4094"/>
    </row>
    <row r="4095" spans="27:30" ht="15">
      <c r="AA4095"/>
      <c r="AB4095"/>
      <c r="AC4095"/>
      <c r="AD4095"/>
    </row>
    <row r="4096" spans="27:30" ht="15">
      <c r="AA4096"/>
      <c r="AB4096"/>
      <c r="AC4096"/>
      <c r="AD4096"/>
    </row>
    <row r="4097" spans="27:30" ht="15">
      <c r="AA4097"/>
      <c r="AB4097"/>
      <c r="AC4097"/>
      <c r="AD4097"/>
    </row>
    <row r="4098" spans="27:30" ht="15">
      <c r="AA4098"/>
      <c r="AB4098"/>
      <c r="AC4098"/>
      <c r="AD4098"/>
    </row>
    <row r="4099" spans="27:30" ht="15">
      <c r="AA4099"/>
      <c r="AB4099"/>
      <c r="AC4099"/>
      <c r="AD4099"/>
    </row>
    <row r="4100" spans="27:30" ht="15">
      <c r="AA4100"/>
      <c r="AB4100"/>
      <c r="AC4100"/>
      <c r="AD4100"/>
    </row>
    <row r="4101" spans="27:30" ht="15">
      <c r="AA4101"/>
      <c r="AB4101"/>
      <c r="AC4101"/>
      <c r="AD4101"/>
    </row>
    <row r="4102" spans="27:30" ht="15">
      <c r="AA4102"/>
      <c r="AB4102"/>
      <c r="AC4102"/>
      <c r="AD4102"/>
    </row>
    <row r="4103" spans="27:30" ht="15">
      <c r="AA4103"/>
      <c r="AB4103"/>
      <c r="AC4103"/>
      <c r="AD4103"/>
    </row>
    <row r="4104" spans="27:30" ht="15">
      <c r="AA4104"/>
      <c r="AB4104"/>
      <c r="AC4104"/>
      <c r="AD4104"/>
    </row>
    <row r="4105" spans="27:30" ht="15">
      <c r="AA4105"/>
      <c r="AB4105"/>
      <c r="AC4105"/>
      <c r="AD4105"/>
    </row>
    <row r="4106" spans="27:30" ht="15">
      <c r="AA4106"/>
      <c r="AB4106"/>
      <c r="AC4106"/>
      <c r="AD4106"/>
    </row>
    <row r="4107" spans="27:30" ht="15">
      <c r="AA4107"/>
      <c r="AB4107"/>
      <c r="AC4107"/>
      <c r="AD4107"/>
    </row>
    <row r="4108" spans="27:30" ht="15">
      <c r="AA4108"/>
      <c r="AB4108"/>
      <c r="AC4108"/>
      <c r="AD4108"/>
    </row>
    <row r="4109" spans="27:30" ht="15">
      <c r="AA4109"/>
      <c r="AB4109"/>
      <c r="AC4109"/>
      <c r="AD4109"/>
    </row>
    <row r="4110" spans="27:30" ht="15">
      <c r="AA4110"/>
      <c r="AB4110"/>
      <c r="AC4110"/>
      <c r="AD4110"/>
    </row>
    <row r="4111" spans="27:30" ht="15">
      <c r="AA4111"/>
      <c r="AB4111"/>
      <c r="AC4111"/>
      <c r="AD4111"/>
    </row>
    <row r="4112" spans="27:30" ht="15">
      <c r="AA4112"/>
      <c r="AB4112"/>
      <c r="AC4112"/>
      <c r="AD4112"/>
    </row>
    <row r="4113" spans="27:30" ht="15">
      <c r="AA4113"/>
      <c r="AB4113"/>
      <c r="AC4113"/>
      <c r="AD4113"/>
    </row>
    <row r="4114" spans="27:30" ht="15">
      <c r="AA4114"/>
      <c r="AB4114"/>
      <c r="AC4114"/>
      <c r="AD4114"/>
    </row>
    <row r="4115" spans="27:30" ht="15">
      <c r="AA4115"/>
      <c r="AB4115"/>
      <c r="AC4115"/>
      <c r="AD4115"/>
    </row>
    <row r="4116" spans="27:30" ht="15">
      <c r="AA4116"/>
      <c r="AB4116"/>
      <c r="AC4116"/>
      <c r="AD4116"/>
    </row>
    <row r="4117" spans="27:30" ht="15">
      <c r="AA4117"/>
      <c r="AB4117"/>
      <c r="AC4117"/>
      <c r="AD4117"/>
    </row>
    <row r="4118" spans="27:30" ht="15">
      <c r="AA4118"/>
      <c r="AB4118"/>
      <c r="AC4118"/>
      <c r="AD4118"/>
    </row>
    <row r="4119" spans="27:30" ht="15">
      <c r="AA4119"/>
      <c r="AB4119"/>
      <c r="AC4119"/>
      <c r="AD4119"/>
    </row>
    <row r="4120" spans="27:30" ht="15">
      <c r="AA4120"/>
      <c r="AB4120"/>
      <c r="AC4120"/>
      <c r="AD4120"/>
    </row>
    <row r="4121" spans="27:30" ht="15">
      <c r="AA4121"/>
      <c r="AB4121"/>
      <c r="AC4121"/>
      <c r="AD4121"/>
    </row>
    <row r="4122" spans="27:30" ht="15">
      <c r="AA4122"/>
      <c r="AB4122"/>
      <c r="AC4122"/>
      <c r="AD4122"/>
    </row>
    <row r="4123" spans="27:30" ht="15">
      <c r="AA4123"/>
      <c r="AB4123"/>
      <c r="AC4123"/>
      <c r="AD4123"/>
    </row>
    <row r="4124" spans="27:30" ht="15">
      <c r="AA4124"/>
      <c r="AB4124"/>
      <c r="AC4124"/>
      <c r="AD4124"/>
    </row>
    <row r="4125" spans="27:30" ht="15">
      <c r="AA4125"/>
      <c r="AB4125"/>
      <c r="AC4125"/>
      <c r="AD4125"/>
    </row>
    <row r="4126" spans="27:30" ht="15">
      <c r="AA4126"/>
      <c r="AB4126"/>
      <c r="AC4126"/>
      <c r="AD4126"/>
    </row>
    <row r="4127" spans="27:30" ht="15">
      <c r="AA4127"/>
      <c r="AB4127"/>
      <c r="AC4127"/>
      <c r="AD4127"/>
    </row>
    <row r="4128" spans="27:30" ht="15">
      <c r="AA4128"/>
      <c r="AB4128"/>
      <c r="AC4128"/>
      <c r="AD4128"/>
    </row>
    <row r="4129" spans="27:30" ht="15">
      <c r="AA4129"/>
      <c r="AB4129"/>
      <c r="AC4129"/>
      <c r="AD4129"/>
    </row>
    <row r="4130" spans="27:30" ht="15">
      <c r="AA4130"/>
      <c r="AB4130"/>
      <c r="AC4130"/>
      <c r="AD4130"/>
    </row>
    <row r="4131" spans="27:30" ht="15">
      <c r="AA4131"/>
      <c r="AB4131"/>
      <c r="AC4131"/>
      <c r="AD4131"/>
    </row>
    <row r="4132" spans="27:30" ht="15">
      <c r="AA4132"/>
      <c r="AB4132"/>
      <c r="AC4132"/>
      <c r="AD4132"/>
    </row>
    <row r="4133" spans="27:30" ht="15">
      <c r="AA4133"/>
      <c r="AB4133"/>
      <c r="AC4133"/>
      <c r="AD4133"/>
    </row>
    <row r="4134" spans="27:30" ht="15">
      <c r="AA4134"/>
      <c r="AB4134"/>
      <c r="AC4134"/>
      <c r="AD4134"/>
    </row>
    <row r="4135" spans="27:30" ht="15">
      <c r="AA4135"/>
      <c r="AB4135"/>
      <c r="AC4135"/>
      <c r="AD4135"/>
    </row>
    <row r="4136" spans="27:30" ht="15">
      <c r="AA4136"/>
      <c r="AB4136"/>
      <c r="AC4136"/>
      <c r="AD4136"/>
    </row>
    <row r="4137" spans="27:30" ht="15">
      <c r="AA4137"/>
      <c r="AB4137"/>
      <c r="AC4137"/>
      <c r="AD4137"/>
    </row>
    <row r="4138" spans="27:30" ht="15">
      <c r="AA4138"/>
      <c r="AB4138"/>
      <c r="AC4138"/>
      <c r="AD4138"/>
    </row>
    <row r="4139" spans="27:30" ht="15">
      <c r="AA4139"/>
      <c r="AB4139"/>
      <c r="AC4139"/>
      <c r="AD4139"/>
    </row>
    <row r="4140" spans="27:30" ht="15">
      <c r="AA4140"/>
      <c r="AB4140"/>
      <c r="AC4140"/>
      <c r="AD4140"/>
    </row>
    <row r="4141" spans="27:30" ht="15">
      <c r="AA4141"/>
      <c r="AB4141"/>
      <c r="AC4141"/>
      <c r="AD4141"/>
    </row>
    <row r="4142" spans="27:30" ht="15">
      <c r="AA4142"/>
      <c r="AB4142"/>
      <c r="AC4142"/>
      <c r="AD4142"/>
    </row>
    <row r="4143" spans="27:30" ht="15">
      <c r="AA4143"/>
      <c r="AB4143"/>
      <c r="AC4143"/>
      <c r="AD4143"/>
    </row>
    <row r="4144" spans="27:30" ht="15">
      <c r="AA4144"/>
      <c r="AB4144"/>
      <c r="AC4144"/>
      <c r="AD4144"/>
    </row>
    <row r="4145" spans="27:30" ht="15">
      <c r="AA4145"/>
      <c r="AB4145"/>
      <c r="AC4145"/>
      <c r="AD4145"/>
    </row>
    <row r="4146" spans="27:30" ht="15">
      <c r="AA4146"/>
      <c r="AB4146"/>
      <c r="AC4146"/>
      <c r="AD4146"/>
    </row>
    <row r="4147" spans="27:30" ht="15">
      <c r="AA4147"/>
      <c r="AB4147"/>
      <c r="AC4147"/>
      <c r="AD4147"/>
    </row>
    <row r="4148" spans="27:30" ht="15">
      <c r="AA4148"/>
      <c r="AB4148"/>
      <c r="AC4148"/>
      <c r="AD4148"/>
    </row>
    <row r="4149" spans="27:30" ht="15">
      <c r="AA4149"/>
      <c r="AB4149"/>
      <c r="AC4149"/>
      <c r="AD4149"/>
    </row>
    <row r="4150" spans="27:30" ht="15">
      <c r="AA4150"/>
      <c r="AB4150"/>
      <c r="AC4150"/>
      <c r="AD4150"/>
    </row>
    <row r="4151" spans="27:30" ht="15">
      <c r="AA4151"/>
      <c r="AB4151"/>
      <c r="AC4151"/>
      <c r="AD4151"/>
    </row>
    <row r="4152" spans="27:30" ht="15">
      <c r="AA4152"/>
      <c r="AB4152"/>
      <c r="AC4152"/>
      <c r="AD4152"/>
    </row>
    <row r="4153" spans="27:30" ht="15">
      <c r="AA4153"/>
      <c r="AB4153"/>
      <c r="AC4153"/>
      <c r="AD4153"/>
    </row>
    <row r="4154" spans="27:30" ht="15">
      <c r="AA4154"/>
      <c r="AB4154"/>
      <c r="AC4154"/>
      <c r="AD4154"/>
    </row>
    <row r="4155" spans="27:30" ht="15">
      <c r="AA4155"/>
      <c r="AB4155"/>
      <c r="AC4155"/>
      <c r="AD4155"/>
    </row>
    <row r="4156" spans="27:30" ht="15">
      <c r="AA4156"/>
      <c r="AB4156"/>
      <c r="AC4156"/>
      <c r="AD4156"/>
    </row>
    <row r="4157" spans="27:30" ht="15">
      <c r="AA4157"/>
      <c r="AB4157"/>
      <c r="AC4157"/>
      <c r="AD4157"/>
    </row>
    <row r="4158" spans="27:30" ht="15">
      <c r="AA4158"/>
      <c r="AB4158"/>
      <c r="AC4158"/>
      <c r="AD4158"/>
    </row>
    <row r="4159" spans="27:30" ht="15">
      <c r="AA4159"/>
      <c r="AB4159"/>
      <c r="AC4159"/>
      <c r="AD4159"/>
    </row>
    <row r="4160" spans="27:30" ht="15">
      <c r="AA4160"/>
      <c r="AB4160"/>
      <c r="AC4160"/>
      <c r="AD4160"/>
    </row>
    <row r="4161" spans="27:30" ht="15">
      <c r="AA4161"/>
      <c r="AB4161"/>
      <c r="AC4161"/>
      <c r="AD4161"/>
    </row>
    <row r="4162" spans="27:30" ht="15">
      <c r="AA4162"/>
      <c r="AB4162"/>
      <c r="AC4162"/>
      <c r="AD4162"/>
    </row>
    <row r="4163" spans="27:30" ht="15">
      <c r="AA4163"/>
      <c r="AB4163"/>
      <c r="AC4163"/>
      <c r="AD4163"/>
    </row>
    <row r="4164" spans="27:30" ht="15">
      <c r="AA4164"/>
      <c r="AB4164"/>
      <c r="AC4164"/>
      <c r="AD4164"/>
    </row>
    <row r="4165" spans="27:30" ht="15">
      <c r="AA4165"/>
      <c r="AB4165"/>
      <c r="AC4165"/>
      <c r="AD4165"/>
    </row>
    <row r="4166" spans="27:30" ht="15">
      <c r="AA4166"/>
      <c r="AB4166"/>
      <c r="AC4166"/>
      <c r="AD4166"/>
    </row>
    <row r="4167" spans="27:30" ht="15">
      <c r="AA4167"/>
      <c r="AB4167"/>
      <c r="AC4167"/>
      <c r="AD4167"/>
    </row>
    <row r="4168" spans="27:30" ht="15">
      <c r="AA4168"/>
      <c r="AB4168"/>
      <c r="AC4168"/>
      <c r="AD4168"/>
    </row>
    <row r="4169" spans="27:30" ht="15">
      <c r="AA4169"/>
      <c r="AB4169"/>
      <c r="AC4169"/>
      <c r="AD4169"/>
    </row>
    <row r="4170" spans="27:30" ht="15">
      <c r="AA4170"/>
      <c r="AB4170"/>
      <c r="AC4170"/>
      <c r="AD4170"/>
    </row>
    <row r="4171" spans="27:30" ht="15">
      <c r="AA4171"/>
      <c r="AB4171"/>
      <c r="AC4171"/>
      <c r="AD4171"/>
    </row>
    <row r="4172" spans="27:30" ht="15">
      <c r="AA4172"/>
      <c r="AB4172"/>
      <c r="AC4172"/>
      <c r="AD4172"/>
    </row>
    <row r="4173" spans="27:30" ht="15">
      <c r="AA4173"/>
      <c r="AB4173"/>
      <c r="AC4173"/>
      <c r="AD4173"/>
    </row>
    <row r="4174" spans="27:30" ht="15">
      <c r="AA4174"/>
      <c r="AB4174"/>
      <c r="AC4174"/>
      <c r="AD4174"/>
    </row>
    <row r="4175" spans="27:30" ht="15">
      <c r="AA4175"/>
      <c r="AB4175"/>
      <c r="AC4175"/>
      <c r="AD4175"/>
    </row>
    <row r="4176" spans="27:30" ht="15">
      <c r="AA4176"/>
      <c r="AB4176"/>
      <c r="AC4176"/>
      <c r="AD4176"/>
    </row>
    <row r="4177" spans="27:30" ht="15">
      <c r="AA4177"/>
      <c r="AB4177"/>
      <c r="AC4177"/>
      <c r="AD4177"/>
    </row>
    <row r="4178" spans="27:30" ht="15">
      <c r="AA4178"/>
      <c r="AB4178"/>
      <c r="AC4178"/>
      <c r="AD4178"/>
    </row>
    <row r="4179" spans="27:30" ht="15">
      <c r="AA4179"/>
      <c r="AB4179"/>
      <c r="AC4179"/>
      <c r="AD4179"/>
    </row>
    <row r="4180" spans="27:30" ht="15">
      <c r="AA4180"/>
      <c r="AB4180"/>
      <c r="AC4180"/>
      <c r="AD4180"/>
    </row>
    <row r="4181" spans="27:30" ht="15">
      <c r="AA4181"/>
      <c r="AB4181"/>
      <c r="AC4181"/>
      <c r="AD4181"/>
    </row>
    <row r="4182" spans="27:30" ht="15">
      <c r="AA4182"/>
      <c r="AB4182"/>
      <c r="AC4182"/>
      <c r="AD4182"/>
    </row>
    <row r="4183" spans="27:30" ht="15">
      <c r="AA4183"/>
      <c r="AB4183"/>
      <c r="AC4183"/>
      <c r="AD4183"/>
    </row>
    <row r="4184" spans="27:30" ht="15">
      <c r="AA4184"/>
      <c r="AB4184"/>
      <c r="AC4184"/>
      <c r="AD4184"/>
    </row>
    <row r="4185" spans="27:30" ht="15">
      <c r="AA4185"/>
      <c r="AB4185"/>
      <c r="AC4185"/>
      <c r="AD4185"/>
    </row>
    <row r="4186" spans="27:30" ht="15">
      <c r="AA4186"/>
      <c r="AB4186"/>
      <c r="AC4186"/>
      <c r="AD4186"/>
    </row>
    <row r="4187" spans="27:30" ht="15">
      <c r="AA4187"/>
      <c r="AB4187"/>
      <c r="AC4187"/>
      <c r="AD4187"/>
    </row>
    <row r="4188" spans="27:30" ht="15">
      <c r="AA4188"/>
      <c r="AB4188"/>
      <c r="AC4188"/>
      <c r="AD4188"/>
    </row>
    <row r="4189" spans="27:30" ht="15">
      <c r="AA4189"/>
      <c r="AB4189"/>
      <c r="AC4189"/>
      <c r="AD4189"/>
    </row>
    <row r="4190" spans="27:30" ht="15">
      <c r="AA4190"/>
      <c r="AB4190"/>
      <c r="AC4190"/>
      <c r="AD4190"/>
    </row>
    <row r="4191" spans="27:30" ht="15">
      <c r="AA4191"/>
      <c r="AB4191"/>
      <c r="AC4191"/>
      <c r="AD4191"/>
    </row>
    <row r="4192" spans="27:30" ht="15">
      <c r="AA4192"/>
      <c r="AB4192"/>
      <c r="AC4192"/>
      <c r="AD4192"/>
    </row>
    <row r="4193" spans="27:30" ht="15">
      <c r="AA4193"/>
      <c r="AB4193"/>
      <c r="AC4193"/>
      <c r="AD4193"/>
    </row>
    <row r="4194" spans="27:30" ht="15">
      <c r="AA4194"/>
      <c r="AB4194"/>
      <c r="AC4194"/>
      <c r="AD4194"/>
    </row>
    <row r="4195" spans="27:30" ht="15">
      <c r="AA4195"/>
      <c r="AB4195"/>
      <c r="AC4195"/>
      <c r="AD4195"/>
    </row>
    <row r="4196" spans="27:30" ht="15">
      <c r="AA4196"/>
      <c r="AB4196"/>
      <c r="AC4196"/>
      <c r="AD4196"/>
    </row>
    <row r="4197" spans="27:30" ht="15">
      <c r="AA4197"/>
      <c r="AB4197"/>
      <c r="AC4197"/>
      <c r="AD4197"/>
    </row>
    <row r="4198" spans="27:30" ht="15">
      <c r="AA4198"/>
      <c r="AB4198"/>
      <c r="AC4198"/>
      <c r="AD4198"/>
    </row>
    <row r="4199" spans="27:30" ht="15">
      <c r="AA4199"/>
      <c r="AB4199"/>
      <c r="AC4199"/>
      <c r="AD4199"/>
    </row>
    <row r="4200" spans="27:30" ht="15">
      <c r="AA4200"/>
      <c r="AB4200"/>
      <c r="AC4200"/>
      <c r="AD4200"/>
    </row>
    <row r="4201" spans="27:30" ht="15">
      <c r="AA4201"/>
      <c r="AB4201"/>
      <c r="AC4201"/>
      <c r="AD4201"/>
    </row>
    <row r="4202" spans="27:30" ht="15">
      <c r="AA4202"/>
      <c r="AB4202"/>
      <c r="AC4202"/>
      <c r="AD4202"/>
    </row>
    <row r="4203" spans="27:30" ht="15">
      <c r="AA4203"/>
      <c r="AB4203"/>
      <c r="AC4203"/>
      <c r="AD4203"/>
    </row>
    <row r="4204" spans="27:30" ht="15">
      <c r="AA4204"/>
      <c r="AB4204"/>
      <c r="AC4204"/>
      <c r="AD4204"/>
    </row>
    <row r="4205" spans="27:30" ht="15">
      <c r="AA4205"/>
      <c r="AB4205"/>
      <c r="AC4205"/>
      <c r="AD4205"/>
    </row>
    <row r="4206" spans="27:30" ht="15">
      <c r="AA4206"/>
      <c r="AB4206"/>
      <c r="AC4206"/>
      <c r="AD4206"/>
    </row>
    <row r="4207" spans="27:30" ht="15">
      <c r="AA4207"/>
      <c r="AB4207"/>
      <c r="AC4207"/>
      <c r="AD4207"/>
    </row>
    <row r="4208" spans="27:30" ht="15">
      <c r="AA4208"/>
      <c r="AB4208"/>
      <c r="AC4208"/>
      <c r="AD4208"/>
    </row>
    <row r="4209" spans="27:30" ht="15">
      <c r="AA4209"/>
      <c r="AB4209"/>
      <c r="AC4209"/>
      <c r="AD4209"/>
    </row>
    <row r="4210" spans="27:30" ht="15">
      <c r="AA4210"/>
      <c r="AB4210"/>
      <c r="AC4210"/>
      <c r="AD4210"/>
    </row>
    <row r="4211" spans="27:30" ht="15">
      <c r="AA4211"/>
      <c r="AB4211"/>
      <c r="AC4211"/>
      <c r="AD4211"/>
    </row>
    <row r="4212" spans="27:30" ht="15">
      <c r="AA4212"/>
      <c r="AB4212"/>
      <c r="AC4212"/>
      <c r="AD4212"/>
    </row>
    <row r="4213" spans="27:30" ht="15">
      <c r="AA4213"/>
      <c r="AB4213"/>
      <c r="AC4213"/>
      <c r="AD4213"/>
    </row>
    <row r="4214" spans="27:30" ht="15">
      <c r="AA4214"/>
      <c r="AB4214"/>
      <c r="AC4214"/>
      <c r="AD4214"/>
    </row>
    <row r="4215" spans="27:30" ht="15">
      <c r="AA4215"/>
      <c r="AB4215"/>
      <c r="AC4215"/>
      <c r="AD4215"/>
    </row>
    <row r="4216" spans="27:30" ht="15">
      <c r="AA4216"/>
      <c r="AB4216"/>
      <c r="AC4216"/>
      <c r="AD4216"/>
    </row>
    <row r="4217" spans="27:30" ht="15">
      <c r="AA4217"/>
      <c r="AB4217"/>
      <c r="AC4217"/>
      <c r="AD4217"/>
    </row>
    <row r="4218" spans="27:30" ht="15">
      <c r="AA4218"/>
      <c r="AB4218"/>
      <c r="AC4218"/>
      <c r="AD4218"/>
    </row>
    <row r="4219" spans="27:30" ht="15">
      <c r="AA4219"/>
      <c r="AB4219"/>
      <c r="AC4219"/>
      <c r="AD4219"/>
    </row>
    <row r="4220" spans="27:30" ht="15">
      <c r="AA4220"/>
      <c r="AB4220"/>
      <c r="AC4220"/>
      <c r="AD4220"/>
    </row>
    <row r="4221" spans="27:30" ht="15">
      <c r="AA4221"/>
      <c r="AB4221"/>
      <c r="AC4221"/>
      <c r="AD4221"/>
    </row>
    <row r="4222" spans="27:30" ht="15">
      <c r="AA4222"/>
      <c r="AB4222"/>
      <c r="AC4222"/>
      <c r="AD4222"/>
    </row>
    <row r="4223" spans="27:30" ht="15">
      <c r="AA4223"/>
      <c r="AB4223"/>
      <c r="AC4223"/>
      <c r="AD4223"/>
    </row>
    <row r="4224" spans="27:30" ht="15">
      <c r="AA4224"/>
      <c r="AB4224"/>
      <c r="AC4224"/>
      <c r="AD4224"/>
    </row>
    <row r="4225" spans="27:30" ht="15">
      <c r="AA4225"/>
      <c r="AB4225"/>
      <c r="AC4225"/>
      <c r="AD4225"/>
    </row>
    <row r="4226" spans="27:30" ht="15">
      <c r="AA4226"/>
      <c r="AB4226"/>
      <c r="AC4226"/>
      <c r="AD4226"/>
    </row>
    <row r="4227" spans="27:30" ht="15">
      <c r="AA4227"/>
      <c r="AB4227"/>
      <c r="AC4227"/>
      <c r="AD4227"/>
    </row>
    <row r="4228" spans="27:30" ht="15">
      <c r="AA4228"/>
      <c r="AB4228"/>
      <c r="AC4228"/>
      <c r="AD4228"/>
    </row>
    <row r="4229" spans="27:30" ht="15">
      <c r="AA4229"/>
      <c r="AB4229"/>
      <c r="AC4229"/>
      <c r="AD4229"/>
    </row>
    <row r="4230" spans="27:30" ht="15">
      <c r="AA4230"/>
      <c r="AB4230"/>
      <c r="AC4230"/>
      <c r="AD4230"/>
    </row>
    <row r="4231" spans="27:30" ht="15">
      <c r="AA4231"/>
      <c r="AB4231"/>
      <c r="AC4231"/>
      <c r="AD4231"/>
    </row>
    <row r="4232" spans="27:30" ht="15">
      <c r="AA4232"/>
      <c r="AB4232"/>
      <c r="AC4232"/>
      <c r="AD4232"/>
    </row>
    <row r="4233" spans="27:30" ht="15">
      <c r="AA4233"/>
      <c r="AB4233"/>
      <c r="AC4233"/>
      <c r="AD4233"/>
    </row>
    <row r="4234" spans="27:30" ht="15">
      <c r="AA4234"/>
      <c r="AB4234"/>
      <c r="AC4234"/>
      <c r="AD4234"/>
    </row>
    <row r="4235" spans="27:30" ht="15">
      <c r="AA4235"/>
      <c r="AB4235"/>
      <c r="AC4235"/>
      <c r="AD4235"/>
    </row>
    <row r="4236" spans="27:30" ht="15">
      <c r="AA4236"/>
      <c r="AB4236"/>
      <c r="AC4236"/>
      <c r="AD4236"/>
    </row>
    <row r="4237" spans="27:30" ht="15">
      <c r="AA4237"/>
      <c r="AB4237"/>
      <c r="AC4237"/>
      <c r="AD4237"/>
    </row>
    <row r="4238" spans="27:30" ht="15">
      <c r="AA4238"/>
      <c r="AB4238"/>
      <c r="AC4238"/>
      <c r="AD4238"/>
    </row>
    <row r="4239" spans="27:30" ht="15">
      <c r="AA4239"/>
      <c r="AB4239"/>
      <c r="AC4239"/>
      <c r="AD4239"/>
    </row>
    <row r="4240" spans="27:30" ht="15">
      <c r="AA4240"/>
      <c r="AB4240"/>
      <c r="AC4240"/>
      <c r="AD4240"/>
    </row>
    <row r="4241" spans="27:30" ht="15">
      <c r="AA4241"/>
      <c r="AB4241"/>
      <c r="AC4241"/>
      <c r="AD4241"/>
    </row>
    <row r="4242" spans="27:30" ht="15">
      <c r="AA4242"/>
      <c r="AB4242"/>
      <c r="AC4242"/>
      <c r="AD4242"/>
    </row>
    <row r="4243" spans="27:30" ht="15">
      <c r="AA4243"/>
      <c r="AB4243"/>
      <c r="AC4243"/>
      <c r="AD4243"/>
    </row>
    <row r="4244" spans="27:30" ht="15">
      <c r="AA4244"/>
      <c r="AB4244"/>
      <c r="AC4244"/>
      <c r="AD4244"/>
    </row>
    <row r="4245" spans="27:30" ht="15">
      <c r="AA4245"/>
      <c r="AB4245"/>
      <c r="AC4245"/>
      <c r="AD4245"/>
    </row>
    <row r="4246" spans="27:30" ht="15">
      <c r="AA4246"/>
      <c r="AB4246"/>
      <c r="AC4246"/>
      <c r="AD4246"/>
    </row>
    <row r="4247" spans="27:30" ht="15">
      <c r="AA4247"/>
      <c r="AB4247"/>
      <c r="AC4247"/>
      <c r="AD4247"/>
    </row>
    <row r="4248" spans="27:30" ht="15">
      <c r="AA4248"/>
      <c r="AB4248"/>
      <c r="AC4248"/>
      <c r="AD4248"/>
    </row>
    <row r="4249" spans="27:30" ht="15">
      <c r="AA4249"/>
      <c r="AB4249"/>
      <c r="AC4249"/>
      <c r="AD4249"/>
    </row>
    <row r="4250" spans="27:30" ht="15">
      <c r="AA4250"/>
      <c r="AB4250"/>
      <c r="AC4250"/>
      <c r="AD4250"/>
    </row>
    <row r="4251" spans="27:30" ht="15">
      <c r="AA4251"/>
      <c r="AB4251"/>
      <c r="AC4251"/>
      <c r="AD4251"/>
    </row>
    <row r="4252" spans="27:30" ht="15">
      <c r="AA4252"/>
      <c r="AB4252"/>
      <c r="AC4252"/>
      <c r="AD4252"/>
    </row>
    <row r="4253" spans="27:30" ht="15">
      <c r="AA4253"/>
      <c r="AB4253"/>
      <c r="AC4253"/>
      <c r="AD4253"/>
    </row>
    <row r="4254" spans="27:30" ht="15">
      <c r="AA4254"/>
      <c r="AB4254"/>
      <c r="AC4254"/>
      <c r="AD4254"/>
    </row>
    <row r="4255" spans="27:30" ht="15">
      <c r="AA4255"/>
      <c r="AB4255"/>
      <c r="AC4255"/>
      <c r="AD4255"/>
    </row>
    <row r="4256" spans="27:30" ht="15">
      <c r="AA4256"/>
      <c r="AB4256"/>
      <c r="AC4256"/>
      <c r="AD4256"/>
    </row>
    <row r="4257" spans="27:30" ht="15">
      <c r="AA4257"/>
      <c r="AB4257"/>
      <c r="AC4257"/>
      <c r="AD4257"/>
    </row>
    <row r="4258" spans="27:30" ht="15">
      <c r="AA4258"/>
      <c r="AB4258"/>
      <c r="AC4258"/>
      <c r="AD4258"/>
    </row>
    <row r="4259" spans="27:30" ht="15">
      <c r="AA4259"/>
      <c r="AB4259"/>
      <c r="AC4259"/>
      <c r="AD4259"/>
    </row>
    <row r="4260" spans="27:30" ht="15">
      <c r="AA4260"/>
      <c r="AB4260"/>
      <c r="AC4260"/>
      <c r="AD4260"/>
    </row>
    <row r="4261" spans="27:30" ht="15">
      <c r="AA4261"/>
      <c r="AB4261"/>
      <c r="AC4261"/>
      <c r="AD4261"/>
    </row>
    <row r="4262" spans="27:30" ht="15">
      <c r="AA4262"/>
      <c r="AB4262"/>
      <c r="AC4262"/>
      <c r="AD4262"/>
    </row>
    <row r="4263" spans="27:30" ht="15">
      <c r="AA4263"/>
      <c r="AB4263"/>
      <c r="AC4263"/>
      <c r="AD4263"/>
    </row>
    <row r="4264" spans="27:30" ht="15">
      <c r="AA4264"/>
      <c r="AB4264"/>
      <c r="AC4264"/>
      <c r="AD4264"/>
    </row>
    <row r="4265" spans="27:30" ht="15">
      <c r="AA4265"/>
      <c r="AB4265"/>
      <c r="AC4265"/>
      <c r="AD4265"/>
    </row>
    <row r="4266" spans="27:30" ht="15">
      <c r="AA4266"/>
      <c r="AB4266"/>
      <c r="AC4266"/>
      <c r="AD4266"/>
    </row>
    <row r="4267" spans="27:30" ht="15">
      <c r="AA4267"/>
      <c r="AB4267"/>
      <c r="AC4267"/>
      <c r="AD4267"/>
    </row>
    <row r="4268" spans="27:30" ht="15">
      <c r="AA4268"/>
      <c r="AB4268"/>
      <c r="AC4268"/>
      <c r="AD4268"/>
    </row>
    <row r="4269" spans="27:30" ht="15">
      <c r="AA4269"/>
      <c r="AB4269"/>
      <c r="AC4269"/>
      <c r="AD4269"/>
    </row>
    <row r="4270" spans="27:30" ht="15">
      <c r="AA4270"/>
      <c r="AB4270"/>
      <c r="AC4270"/>
      <c r="AD4270"/>
    </row>
    <row r="4271" spans="27:30" ht="15">
      <c r="AA4271"/>
      <c r="AB4271"/>
      <c r="AC4271"/>
      <c r="AD4271"/>
    </row>
    <row r="4272" spans="27:30" ht="15">
      <c r="AA4272"/>
      <c r="AB4272"/>
      <c r="AC4272"/>
      <c r="AD4272"/>
    </row>
    <row r="4273" spans="27:30" ht="15">
      <c r="AA4273"/>
      <c r="AB4273"/>
      <c r="AC4273"/>
      <c r="AD4273"/>
    </row>
    <row r="4274" spans="27:30" ht="15">
      <c r="AA4274"/>
      <c r="AB4274"/>
      <c r="AC4274"/>
      <c r="AD4274"/>
    </row>
    <row r="4275" spans="27:30" ht="15">
      <c r="AA4275"/>
      <c r="AB4275"/>
      <c r="AC4275"/>
      <c r="AD4275"/>
    </row>
    <row r="4276" spans="27:30" ht="15">
      <c r="AA4276"/>
      <c r="AB4276"/>
      <c r="AC4276"/>
      <c r="AD4276"/>
    </row>
    <row r="4277" spans="27:30" ht="15">
      <c r="AA4277"/>
      <c r="AB4277"/>
      <c r="AC4277"/>
      <c r="AD4277"/>
    </row>
    <row r="4278" spans="27:30" ht="15">
      <c r="AA4278"/>
      <c r="AB4278"/>
      <c r="AC4278"/>
      <c r="AD4278"/>
    </row>
    <row r="4279" spans="27:30" ht="15">
      <c r="AA4279"/>
      <c r="AB4279"/>
      <c r="AC4279"/>
      <c r="AD4279"/>
    </row>
    <row r="4280" spans="27:30" ht="15">
      <c r="AA4280"/>
      <c r="AB4280"/>
      <c r="AC4280"/>
      <c r="AD4280"/>
    </row>
    <row r="4281" spans="27:30" ht="15">
      <c r="AA4281"/>
      <c r="AB4281"/>
      <c r="AC4281"/>
      <c r="AD4281"/>
    </row>
    <row r="4282" spans="27:30" ht="15">
      <c r="AA4282"/>
      <c r="AB4282"/>
      <c r="AC4282"/>
      <c r="AD4282"/>
    </row>
    <row r="4283" spans="27:30" ht="15">
      <c r="AA4283"/>
      <c r="AB4283"/>
      <c r="AC4283"/>
      <c r="AD4283"/>
    </row>
    <row r="4284" spans="27:30" ht="15">
      <c r="AA4284"/>
      <c r="AB4284"/>
      <c r="AC4284"/>
      <c r="AD4284"/>
    </row>
    <row r="4285" spans="27:30" ht="15">
      <c r="AA4285"/>
      <c r="AB4285"/>
      <c r="AC4285"/>
      <c r="AD4285"/>
    </row>
    <row r="4286" spans="27:30" ht="15">
      <c r="AA4286"/>
      <c r="AB4286"/>
      <c r="AC4286"/>
      <c r="AD4286"/>
    </row>
    <row r="4287" spans="27:30" ht="15">
      <c r="AA4287"/>
      <c r="AB4287"/>
      <c r="AC4287"/>
      <c r="AD4287"/>
    </row>
    <row r="4288" spans="27:30" ht="15">
      <c r="AA4288"/>
      <c r="AB4288"/>
      <c r="AC4288"/>
      <c r="AD4288"/>
    </row>
    <row r="4289" spans="27:30" ht="15">
      <c r="AA4289"/>
      <c r="AB4289"/>
      <c r="AC4289"/>
      <c r="AD4289"/>
    </row>
    <row r="4290" spans="27:30" ht="15">
      <c r="AA4290"/>
      <c r="AB4290"/>
      <c r="AC4290"/>
      <c r="AD4290"/>
    </row>
    <row r="4291" spans="27:30" ht="15">
      <c r="AA4291"/>
      <c r="AB4291"/>
      <c r="AC4291"/>
      <c r="AD4291"/>
    </row>
    <row r="4292" spans="27:30" ht="15">
      <c r="AA4292"/>
      <c r="AB4292"/>
      <c r="AC4292"/>
      <c r="AD4292"/>
    </row>
    <row r="4293" spans="27:30" ht="15">
      <c r="AA4293"/>
      <c r="AB4293"/>
      <c r="AC4293"/>
      <c r="AD4293"/>
    </row>
    <row r="4294" spans="27:30" ht="15">
      <c r="AA4294"/>
      <c r="AB4294"/>
      <c r="AC4294"/>
      <c r="AD4294"/>
    </row>
    <row r="4295" spans="27:30" ht="15">
      <c r="AA4295"/>
      <c r="AB4295"/>
      <c r="AC4295"/>
      <c r="AD4295"/>
    </row>
    <row r="4296" spans="27:30" ht="15">
      <c r="AA4296"/>
      <c r="AB4296"/>
      <c r="AC4296"/>
      <c r="AD4296"/>
    </row>
    <row r="4297" spans="27:30" ht="15">
      <c r="AA4297"/>
      <c r="AB4297"/>
      <c r="AC4297"/>
      <c r="AD4297"/>
    </row>
    <row r="4298" spans="27:30" ht="15">
      <c r="AA4298"/>
      <c r="AB4298"/>
      <c r="AC4298"/>
      <c r="AD4298"/>
    </row>
    <row r="4299" spans="27:30" ht="15">
      <c r="AA4299"/>
      <c r="AB4299"/>
      <c r="AC4299"/>
      <c r="AD4299"/>
    </row>
    <row r="4300" spans="27:30" ht="15">
      <c r="AA4300"/>
      <c r="AB4300"/>
      <c r="AC4300"/>
      <c r="AD4300"/>
    </row>
    <row r="4301" spans="27:30" ht="15">
      <c r="AA4301"/>
      <c r="AB4301"/>
      <c r="AC4301"/>
      <c r="AD4301"/>
    </row>
    <row r="4302" spans="27:30" ht="15">
      <c r="AA4302"/>
      <c r="AB4302"/>
      <c r="AC4302"/>
      <c r="AD4302"/>
    </row>
    <row r="4303" spans="27:30" ht="15">
      <c r="AA4303"/>
      <c r="AB4303"/>
      <c r="AC4303"/>
      <c r="AD4303"/>
    </row>
    <row r="4304" spans="27:30" ht="15">
      <c r="AA4304"/>
      <c r="AB4304"/>
      <c r="AC4304"/>
      <c r="AD4304"/>
    </row>
    <row r="4305" spans="27:30" ht="15">
      <c r="AA4305"/>
      <c r="AB4305"/>
      <c r="AC4305"/>
      <c r="AD4305"/>
    </row>
    <row r="4306" spans="27:30" ht="15">
      <c r="AA4306"/>
      <c r="AB4306"/>
      <c r="AC4306"/>
      <c r="AD4306"/>
    </row>
    <row r="4307" spans="27:30" ht="15">
      <c r="AA4307"/>
      <c r="AB4307"/>
      <c r="AC4307"/>
      <c r="AD4307"/>
    </row>
    <row r="4308" spans="27:30" ht="15">
      <c r="AA4308"/>
      <c r="AB4308"/>
      <c r="AC4308"/>
      <c r="AD4308"/>
    </row>
    <row r="4309" spans="27:30" ht="15">
      <c r="AA4309"/>
      <c r="AB4309"/>
      <c r="AC4309"/>
      <c r="AD4309"/>
    </row>
    <row r="4310" spans="27:30" ht="15">
      <c r="AA4310"/>
      <c r="AB4310"/>
      <c r="AC4310"/>
      <c r="AD4310"/>
    </row>
    <row r="4311" spans="27:30" ht="15">
      <c r="AA4311"/>
      <c r="AB4311"/>
      <c r="AC4311"/>
      <c r="AD4311"/>
    </row>
    <row r="4312" spans="27:30" ht="15">
      <c r="AA4312"/>
      <c r="AB4312"/>
      <c r="AC4312"/>
      <c r="AD4312"/>
    </row>
    <row r="4313" spans="27:30" ht="15">
      <c r="AA4313"/>
      <c r="AB4313"/>
      <c r="AC4313"/>
      <c r="AD4313"/>
    </row>
    <row r="4314" spans="27:30" ht="15">
      <c r="AA4314"/>
      <c r="AB4314"/>
      <c r="AC4314"/>
      <c r="AD4314"/>
    </row>
    <row r="4315" spans="27:30" ht="15">
      <c r="AA4315"/>
      <c r="AB4315"/>
      <c r="AC4315"/>
      <c r="AD4315"/>
    </row>
    <row r="4316" spans="27:30" ht="15">
      <c r="AA4316"/>
      <c r="AB4316"/>
      <c r="AC4316"/>
      <c r="AD4316"/>
    </row>
    <row r="4317" spans="27:30" ht="15">
      <c r="AA4317"/>
      <c r="AB4317"/>
      <c r="AC4317"/>
      <c r="AD4317"/>
    </row>
    <row r="4318" spans="27:30" ht="15">
      <c r="AA4318"/>
      <c r="AB4318"/>
      <c r="AC4318"/>
      <c r="AD4318"/>
    </row>
    <row r="4319" spans="27:30" ht="15">
      <c r="AA4319"/>
      <c r="AB4319"/>
      <c r="AC4319"/>
      <c r="AD4319"/>
    </row>
    <row r="4320" spans="27:30" ht="15">
      <c r="AA4320"/>
      <c r="AB4320"/>
      <c r="AC4320"/>
      <c r="AD4320"/>
    </row>
    <row r="4321" spans="27:30" ht="15">
      <c r="AA4321"/>
      <c r="AB4321"/>
      <c r="AC4321"/>
      <c r="AD4321"/>
    </row>
    <row r="4322" spans="27:30" ht="15">
      <c r="AA4322"/>
      <c r="AB4322"/>
      <c r="AC4322"/>
      <c r="AD4322"/>
    </row>
    <row r="4323" spans="27:30" ht="15">
      <c r="AA4323"/>
      <c r="AB4323"/>
      <c r="AC4323"/>
      <c r="AD4323"/>
    </row>
    <row r="4324" spans="27:30" ht="15">
      <c r="AA4324"/>
      <c r="AB4324"/>
      <c r="AC4324"/>
      <c r="AD4324"/>
    </row>
    <row r="4325" spans="27:30" ht="15">
      <c r="AA4325"/>
      <c r="AB4325"/>
      <c r="AC4325"/>
      <c r="AD4325"/>
    </row>
    <row r="4326" spans="27:30" ht="15">
      <c r="AA4326"/>
      <c r="AB4326"/>
      <c r="AC4326"/>
      <c r="AD4326"/>
    </row>
    <row r="4327" spans="27:30" ht="15">
      <c r="AA4327"/>
      <c r="AB4327"/>
      <c r="AC4327"/>
      <c r="AD4327"/>
    </row>
    <row r="4328" spans="27:30" ht="15">
      <c r="AA4328"/>
      <c r="AB4328"/>
      <c r="AC4328"/>
      <c r="AD4328"/>
    </row>
    <row r="4329" spans="27:30" ht="15">
      <c r="AA4329"/>
      <c r="AB4329"/>
      <c r="AC4329"/>
      <c r="AD4329"/>
    </row>
    <row r="4330" spans="27:30" ht="15">
      <c r="AA4330"/>
      <c r="AB4330"/>
      <c r="AC4330"/>
      <c r="AD4330"/>
    </row>
    <row r="4331" spans="27:30" ht="15">
      <c r="AA4331"/>
      <c r="AB4331"/>
      <c r="AC4331"/>
      <c r="AD4331"/>
    </row>
    <row r="4332" spans="27:30" ht="15">
      <c r="AA4332"/>
      <c r="AB4332"/>
      <c r="AC4332"/>
      <c r="AD4332"/>
    </row>
    <row r="4333" spans="27:30" ht="15">
      <c r="AA4333"/>
      <c r="AB4333"/>
      <c r="AC4333"/>
      <c r="AD4333"/>
    </row>
    <row r="4334" spans="27:30" ht="15">
      <c r="AA4334"/>
      <c r="AB4334"/>
      <c r="AC4334"/>
      <c r="AD4334"/>
    </row>
    <row r="4335" spans="27:30" ht="15">
      <c r="AA4335"/>
      <c r="AB4335"/>
      <c r="AC4335"/>
      <c r="AD4335"/>
    </row>
    <row r="4336" spans="27:30" ht="15">
      <c r="AA4336"/>
      <c r="AB4336"/>
      <c r="AC4336"/>
      <c r="AD4336"/>
    </row>
    <row r="4337" spans="27:30" ht="15">
      <c r="AA4337"/>
      <c r="AB4337"/>
      <c r="AC4337"/>
      <c r="AD4337"/>
    </row>
    <row r="4338" spans="27:30" ht="15">
      <c r="AA4338"/>
      <c r="AB4338"/>
      <c r="AC4338"/>
      <c r="AD4338"/>
    </row>
    <row r="4339" spans="27:30" ht="15">
      <c r="AA4339"/>
      <c r="AB4339"/>
      <c r="AC4339"/>
      <c r="AD4339"/>
    </row>
    <row r="4340" spans="27:30" ht="15">
      <c r="AA4340"/>
      <c r="AB4340"/>
      <c r="AC4340"/>
      <c r="AD4340"/>
    </row>
    <row r="4341" spans="27:30" ht="15">
      <c r="AA4341"/>
      <c r="AB4341"/>
      <c r="AC4341"/>
      <c r="AD4341"/>
    </row>
    <row r="4342" spans="27:30" ht="15">
      <c r="AA4342"/>
      <c r="AB4342"/>
      <c r="AC4342"/>
      <c r="AD4342"/>
    </row>
    <row r="4343" spans="27:30" ht="15">
      <c r="AA4343"/>
      <c r="AB4343"/>
      <c r="AC4343"/>
      <c r="AD4343"/>
    </row>
    <row r="4344" spans="27:30" ht="15">
      <c r="AA4344"/>
      <c r="AB4344"/>
      <c r="AC4344"/>
      <c r="AD4344"/>
    </row>
    <row r="4345" spans="27:30" ht="15">
      <c r="AA4345"/>
      <c r="AB4345"/>
      <c r="AC4345"/>
      <c r="AD4345"/>
    </row>
    <row r="4346" spans="27:30" ht="15">
      <c r="AA4346"/>
      <c r="AB4346"/>
      <c r="AC4346"/>
      <c r="AD4346"/>
    </row>
    <row r="4347" spans="27:30" ht="15">
      <c r="AA4347"/>
      <c r="AB4347"/>
      <c r="AC4347"/>
      <c r="AD4347"/>
    </row>
    <row r="4348" spans="27:30" ht="15">
      <c r="AA4348"/>
      <c r="AB4348"/>
      <c r="AC4348"/>
      <c r="AD4348"/>
    </row>
    <row r="4349" spans="27:30" ht="15">
      <c r="AA4349"/>
      <c r="AB4349"/>
      <c r="AC4349"/>
      <c r="AD4349"/>
    </row>
    <row r="4350" spans="27:30" ht="15">
      <c r="AA4350"/>
      <c r="AB4350"/>
      <c r="AC4350"/>
      <c r="AD4350"/>
    </row>
    <row r="4351" spans="27:30" ht="15">
      <c r="AA4351"/>
      <c r="AB4351"/>
      <c r="AC4351"/>
      <c r="AD4351"/>
    </row>
    <row r="4352" spans="27:30" ht="15">
      <c r="AA4352"/>
      <c r="AB4352"/>
      <c r="AC4352"/>
      <c r="AD4352"/>
    </row>
    <row r="4353" spans="27:30" ht="15">
      <c r="AA4353"/>
      <c r="AB4353"/>
      <c r="AC4353"/>
      <c r="AD4353"/>
    </row>
    <row r="4354" spans="27:30" ht="15">
      <c r="AA4354"/>
      <c r="AB4354"/>
      <c r="AC4354"/>
      <c r="AD4354"/>
    </row>
    <row r="4355" spans="27:30" ht="15">
      <c r="AA4355"/>
      <c r="AB4355"/>
      <c r="AC4355"/>
      <c r="AD4355"/>
    </row>
    <row r="4356" spans="27:30" ht="15">
      <c r="AA4356"/>
      <c r="AB4356"/>
      <c r="AC4356"/>
      <c r="AD4356"/>
    </row>
    <row r="4357" spans="27:30" ht="15">
      <c r="AA4357"/>
      <c r="AB4357"/>
      <c r="AC4357"/>
      <c r="AD4357"/>
    </row>
    <row r="4358" spans="27:30" ht="15">
      <c r="AA4358"/>
      <c r="AB4358"/>
      <c r="AC4358"/>
      <c r="AD4358"/>
    </row>
    <row r="4359" spans="27:30" ht="15">
      <c r="AA4359"/>
      <c r="AB4359"/>
      <c r="AC4359"/>
      <c r="AD4359"/>
    </row>
    <row r="4360" spans="27:30" ht="15">
      <c r="AA4360"/>
      <c r="AB4360"/>
      <c r="AC4360"/>
      <c r="AD4360"/>
    </row>
    <row r="4361" spans="27:30" ht="15">
      <c r="AA4361"/>
      <c r="AB4361"/>
      <c r="AC4361"/>
      <c r="AD4361"/>
    </row>
    <row r="4362" spans="27:30" ht="15">
      <c r="AA4362"/>
      <c r="AB4362"/>
      <c r="AC4362"/>
      <c r="AD4362"/>
    </row>
    <row r="4363" spans="27:30" ht="15">
      <c r="AA4363"/>
      <c r="AB4363"/>
      <c r="AC4363"/>
      <c r="AD4363"/>
    </row>
    <row r="4364" spans="27:30" ht="15">
      <c r="AA4364"/>
      <c r="AB4364"/>
      <c r="AC4364"/>
      <c r="AD4364"/>
    </row>
    <row r="4365" spans="27:30" ht="15">
      <c r="AA4365"/>
      <c r="AB4365"/>
      <c r="AC4365"/>
      <c r="AD4365"/>
    </row>
    <row r="4366" spans="27:30" ht="15">
      <c r="AA4366"/>
      <c r="AB4366"/>
      <c r="AC4366"/>
      <c r="AD4366"/>
    </row>
    <row r="4367" spans="27:30" ht="15">
      <c r="AA4367"/>
      <c r="AB4367"/>
      <c r="AC4367"/>
      <c r="AD4367"/>
    </row>
    <row r="4368" spans="27:30" ht="15">
      <c r="AA4368"/>
      <c r="AB4368"/>
      <c r="AC4368"/>
      <c r="AD4368"/>
    </row>
    <row r="4369" spans="27:30" ht="15">
      <c r="AA4369"/>
      <c r="AB4369"/>
      <c r="AC4369"/>
      <c r="AD4369"/>
    </row>
    <row r="4370" spans="27:30" ht="15">
      <c r="AA4370"/>
      <c r="AB4370"/>
      <c r="AC4370"/>
      <c r="AD4370"/>
    </row>
    <row r="4371" spans="27:30" ht="15">
      <c r="AA4371"/>
      <c r="AB4371"/>
      <c r="AC4371"/>
      <c r="AD4371"/>
    </row>
    <row r="4372" spans="27:30" ht="15">
      <c r="AA4372"/>
      <c r="AB4372"/>
      <c r="AC4372"/>
      <c r="AD4372"/>
    </row>
    <row r="4373" spans="27:30" ht="15">
      <c r="AA4373"/>
      <c r="AB4373"/>
      <c r="AC4373"/>
      <c r="AD4373"/>
    </row>
    <row r="4374" spans="27:30" ht="15">
      <c r="AA4374"/>
      <c r="AB4374"/>
      <c r="AC4374"/>
      <c r="AD4374"/>
    </row>
    <row r="4375" spans="27:30" ht="15">
      <c r="AA4375"/>
      <c r="AB4375"/>
      <c r="AC4375"/>
      <c r="AD4375"/>
    </row>
    <row r="4376" spans="27:30" ht="15">
      <c r="AA4376"/>
      <c r="AB4376"/>
      <c r="AC4376"/>
      <c r="AD4376"/>
    </row>
    <row r="4377" spans="27:30" ht="15">
      <c r="AA4377"/>
      <c r="AB4377"/>
      <c r="AC4377"/>
      <c r="AD4377"/>
    </row>
    <row r="4378" spans="27:30" ht="15">
      <c r="AA4378"/>
      <c r="AB4378"/>
      <c r="AC4378"/>
      <c r="AD4378"/>
    </row>
    <row r="4379" spans="27:30" ht="15">
      <c r="AA4379"/>
      <c r="AB4379"/>
      <c r="AC4379"/>
      <c r="AD4379"/>
    </row>
    <row r="4380" spans="27:30" ht="15">
      <c r="AA4380"/>
      <c r="AB4380"/>
      <c r="AC4380"/>
      <c r="AD4380"/>
    </row>
    <row r="4381" spans="27:30" ht="15">
      <c r="AA4381"/>
      <c r="AB4381"/>
      <c r="AC4381"/>
      <c r="AD4381"/>
    </row>
    <row r="4382" spans="27:30" ht="15">
      <c r="AA4382"/>
      <c r="AB4382"/>
      <c r="AC4382"/>
      <c r="AD4382"/>
    </row>
    <row r="4383" spans="27:30" ht="15">
      <c r="AA4383"/>
      <c r="AB4383"/>
      <c r="AC4383"/>
      <c r="AD4383"/>
    </row>
    <row r="4384" spans="27:30" ht="15">
      <c r="AA4384"/>
      <c r="AB4384"/>
      <c r="AC4384"/>
      <c r="AD4384"/>
    </row>
    <row r="4385" spans="27:30" ht="15">
      <c r="AA4385"/>
      <c r="AB4385"/>
      <c r="AC4385"/>
      <c r="AD4385"/>
    </row>
    <row r="4386" spans="27:30" ht="15">
      <c r="AA4386"/>
      <c r="AB4386"/>
      <c r="AC4386"/>
      <c r="AD4386"/>
    </row>
    <row r="4387" spans="27:30" ht="15">
      <c r="AA4387"/>
      <c r="AB4387"/>
      <c r="AC4387"/>
      <c r="AD4387"/>
    </row>
    <row r="4388" spans="27:30" ht="15">
      <c r="AA4388"/>
      <c r="AB4388"/>
      <c r="AC4388"/>
      <c r="AD4388"/>
    </row>
    <row r="4389" spans="27:30" ht="15">
      <c r="AA4389"/>
      <c r="AB4389"/>
      <c r="AC4389"/>
      <c r="AD4389"/>
    </row>
    <row r="4390" spans="27:30" ht="15">
      <c r="AA4390"/>
      <c r="AB4390"/>
      <c r="AC4390"/>
      <c r="AD4390"/>
    </row>
    <row r="4391" spans="27:30" ht="15">
      <c r="AA4391"/>
      <c r="AB4391"/>
      <c r="AC4391"/>
      <c r="AD4391"/>
    </row>
    <row r="4392" spans="27:30" ht="15">
      <c r="AA4392"/>
      <c r="AB4392"/>
      <c r="AC4392"/>
      <c r="AD4392"/>
    </row>
    <row r="4393" spans="27:30" ht="15">
      <c r="AA4393"/>
      <c r="AB4393"/>
      <c r="AC4393"/>
      <c r="AD4393"/>
    </row>
    <row r="4394" spans="27:30" ht="15">
      <c r="AA4394"/>
      <c r="AB4394"/>
      <c r="AC4394"/>
      <c r="AD4394"/>
    </row>
    <row r="4395" spans="27:30" ht="15">
      <c r="AA4395"/>
      <c r="AB4395"/>
      <c r="AC4395"/>
      <c r="AD4395"/>
    </row>
    <row r="4396" spans="27:30" ht="15">
      <c r="AA4396"/>
      <c r="AB4396"/>
      <c r="AC4396"/>
      <c r="AD4396"/>
    </row>
    <row r="4397" spans="27:30" ht="15">
      <c r="AA4397"/>
      <c r="AB4397"/>
      <c r="AC4397"/>
      <c r="AD4397"/>
    </row>
    <row r="4398" spans="27:30" ht="15">
      <c r="AA4398"/>
      <c r="AB4398"/>
      <c r="AC4398"/>
      <c r="AD4398"/>
    </row>
    <row r="4399" spans="27:30" ht="15">
      <c r="AA4399"/>
      <c r="AB4399"/>
      <c r="AC4399"/>
      <c r="AD4399"/>
    </row>
    <row r="4400" spans="27:30" ht="15">
      <c r="AA4400"/>
      <c r="AB4400"/>
      <c r="AC4400"/>
      <c r="AD4400"/>
    </row>
    <row r="4401" spans="27:30" ht="15">
      <c r="AA4401"/>
      <c r="AB4401"/>
      <c r="AC4401"/>
      <c r="AD4401"/>
    </row>
    <row r="4402" spans="27:30" ht="15">
      <c r="AA4402"/>
      <c r="AB4402"/>
      <c r="AC4402"/>
      <c r="AD4402"/>
    </row>
    <row r="4403" spans="27:30" ht="15">
      <c r="AA4403"/>
      <c r="AB4403"/>
      <c r="AC4403"/>
      <c r="AD4403"/>
    </row>
    <row r="4404" spans="27:30" ht="15">
      <c r="AA4404"/>
      <c r="AB4404"/>
      <c r="AC4404"/>
      <c r="AD4404"/>
    </row>
    <row r="4405" spans="27:30" ht="15">
      <c r="AA4405"/>
      <c r="AB4405"/>
      <c r="AC4405"/>
      <c r="AD4405"/>
    </row>
    <row r="4406" spans="27:30" ht="15">
      <c r="AA4406"/>
      <c r="AB4406"/>
      <c r="AC4406"/>
      <c r="AD4406"/>
    </row>
    <row r="4407" spans="27:30" ht="15">
      <c r="AA4407"/>
      <c r="AB4407"/>
      <c r="AC4407"/>
      <c r="AD4407"/>
    </row>
    <row r="4408" spans="27:30" ht="15">
      <c r="AA4408"/>
      <c r="AB4408"/>
      <c r="AC4408"/>
      <c r="AD4408"/>
    </row>
    <row r="4409" spans="27:30" ht="15">
      <c r="AA4409"/>
      <c r="AB4409"/>
      <c r="AC4409"/>
      <c r="AD4409"/>
    </row>
    <row r="4410" spans="27:30" ht="15">
      <c r="AA4410"/>
      <c r="AB4410"/>
      <c r="AC4410"/>
      <c r="AD4410"/>
    </row>
    <row r="4411" spans="27:30" ht="15">
      <c r="AA4411"/>
      <c r="AB4411"/>
      <c r="AC4411"/>
      <c r="AD4411"/>
    </row>
    <row r="4412" spans="27:30" ht="15">
      <c r="AA4412"/>
      <c r="AB4412"/>
      <c r="AC4412"/>
      <c r="AD4412"/>
    </row>
    <row r="4413" spans="27:30" ht="15">
      <c r="AA4413"/>
      <c r="AB4413"/>
      <c r="AC4413"/>
      <c r="AD4413"/>
    </row>
    <row r="4414" spans="27:30" ht="15">
      <c r="AA4414"/>
      <c r="AB4414"/>
      <c r="AC4414"/>
      <c r="AD4414"/>
    </row>
    <row r="4415" spans="27:30" ht="15">
      <c r="AA4415"/>
      <c r="AB4415"/>
      <c r="AC4415"/>
      <c r="AD4415"/>
    </row>
    <row r="4416" spans="27:30" ht="15">
      <c r="AA4416"/>
      <c r="AB4416"/>
      <c r="AC4416"/>
      <c r="AD4416"/>
    </row>
    <row r="4417" spans="27:30" ht="15">
      <c r="AA4417"/>
      <c r="AB4417"/>
      <c r="AC4417"/>
      <c r="AD4417"/>
    </row>
    <row r="4418" spans="27:30" ht="15">
      <c r="AA4418"/>
      <c r="AB4418"/>
      <c r="AC4418"/>
      <c r="AD4418"/>
    </row>
    <row r="4419" spans="27:30" ht="15">
      <c r="AA4419"/>
      <c r="AB4419"/>
      <c r="AC4419"/>
      <c r="AD4419"/>
    </row>
    <row r="4420" spans="27:30" ht="15">
      <c r="AA4420"/>
      <c r="AB4420"/>
      <c r="AC4420"/>
      <c r="AD4420"/>
    </row>
    <row r="4421" spans="27:30" ht="15">
      <c r="AA4421"/>
      <c r="AB4421"/>
      <c r="AC4421"/>
      <c r="AD4421"/>
    </row>
    <row r="4422" spans="27:30" ht="15">
      <c r="AA4422"/>
      <c r="AB4422"/>
      <c r="AC4422"/>
      <c r="AD4422"/>
    </row>
    <row r="4423" spans="27:30" ht="15">
      <c r="AA4423"/>
      <c r="AB4423"/>
      <c r="AC4423"/>
      <c r="AD4423"/>
    </row>
    <row r="4424" spans="27:30" ht="15">
      <c r="AA4424"/>
      <c r="AB4424"/>
      <c r="AC4424"/>
      <c r="AD4424"/>
    </row>
    <row r="4425" spans="27:30" ht="15">
      <c r="AA4425"/>
      <c r="AB4425"/>
      <c r="AC4425"/>
      <c r="AD4425"/>
    </row>
    <row r="4426" spans="27:30" ht="15">
      <c r="AA4426"/>
      <c r="AB4426"/>
      <c r="AC4426"/>
      <c r="AD4426"/>
    </row>
    <row r="4427" spans="27:30" ht="15">
      <c r="AA4427"/>
      <c r="AB4427"/>
      <c r="AC4427"/>
      <c r="AD4427"/>
    </row>
    <row r="4428" spans="27:30" ht="15">
      <c r="AA4428"/>
      <c r="AB4428"/>
      <c r="AC4428"/>
      <c r="AD4428"/>
    </row>
    <row r="4429" spans="27:30" ht="15">
      <c r="AA4429"/>
      <c r="AB4429"/>
      <c r="AC4429"/>
      <c r="AD4429"/>
    </row>
    <row r="4430" spans="27:30" ht="15">
      <c r="AA4430"/>
      <c r="AB4430"/>
      <c r="AC4430"/>
      <c r="AD4430"/>
    </row>
    <row r="4431" spans="27:30" ht="15">
      <c r="AA4431"/>
      <c r="AB4431"/>
      <c r="AC4431"/>
      <c r="AD4431"/>
    </row>
    <row r="4432" spans="27:30" ht="15">
      <c r="AA4432"/>
      <c r="AB4432"/>
      <c r="AC4432"/>
      <c r="AD4432"/>
    </row>
    <row r="4433" spans="27:30" ht="15">
      <c r="AA4433"/>
      <c r="AB4433"/>
      <c r="AC4433"/>
      <c r="AD4433"/>
    </row>
    <row r="4434" spans="27:30" ht="15">
      <c r="AA4434"/>
      <c r="AB4434"/>
      <c r="AC4434"/>
      <c r="AD4434"/>
    </row>
    <row r="4435" spans="27:30" ht="15">
      <c r="AA4435"/>
      <c r="AB4435"/>
      <c r="AC4435"/>
      <c r="AD4435"/>
    </row>
    <row r="4436" spans="27:30" ht="15">
      <c r="AA4436"/>
      <c r="AB4436"/>
      <c r="AC4436"/>
      <c r="AD4436"/>
    </row>
    <row r="4437" spans="27:30" ht="15">
      <c r="AA4437"/>
      <c r="AB4437"/>
      <c r="AC4437"/>
      <c r="AD4437"/>
    </row>
    <row r="4438" spans="27:30" ht="15">
      <c r="AA4438"/>
      <c r="AB4438"/>
      <c r="AC4438"/>
      <c r="AD4438"/>
    </row>
    <row r="4439" spans="27:30" ht="15">
      <c r="AA4439"/>
      <c r="AB4439"/>
      <c r="AC4439"/>
      <c r="AD4439"/>
    </row>
    <row r="4440" spans="27:30" ht="15">
      <c r="AA4440"/>
      <c r="AB4440"/>
      <c r="AC4440"/>
      <c r="AD4440"/>
    </row>
    <row r="4441" spans="27:30" ht="15">
      <c r="AA4441"/>
      <c r="AB4441"/>
      <c r="AC4441"/>
      <c r="AD4441"/>
    </row>
    <row r="4442" spans="27:30" ht="15">
      <c r="AA4442"/>
      <c r="AB4442"/>
      <c r="AC4442"/>
      <c r="AD4442"/>
    </row>
    <row r="4443" spans="27:30" ht="15">
      <c r="AA4443"/>
      <c r="AB4443"/>
      <c r="AC4443"/>
      <c r="AD4443"/>
    </row>
    <row r="4444" spans="27:30" ht="15">
      <c r="AA4444"/>
      <c r="AB4444"/>
      <c r="AC4444"/>
      <c r="AD4444"/>
    </row>
    <row r="4445" spans="27:30" ht="15">
      <c r="AA4445"/>
      <c r="AB4445"/>
      <c r="AC4445"/>
      <c r="AD4445"/>
    </row>
    <row r="4446" spans="27:30" ht="15">
      <c r="AA4446"/>
      <c r="AB4446"/>
      <c r="AC4446"/>
      <c r="AD4446"/>
    </row>
    <row r="4447" spans="27:30" ht="15">
      <c r="AA4447"/>
      <c r="AB4447"/>
      <c r="AC4447"/>
      <c r="AD4447"/>
    </row>
    <row r="4448" spans="27:30" ht="15">
      <c r="AA4448"/>
      <c r="AB4448"/>
      <c r="AC4448"/>
      <c r="AD4448"/>
    </row>
    <row r="4449" spans="27:30" ht="15">
      <c r="AA4449"/>
      <c r="AB4449"/>
      <c r="AC4449"/>
      <c r="AD4449"/>
    </row>
    <row r="4450" spans="27:30" ht="15">
      <c r="AA4450"/>
      <c r="AB4450"/>
      <c r="AC4450"/>
      <c r="AD4450"/>
    </row>
    <row r="4451" spans="27:30" ht="15">
      <c r="AA4451"/>
      <c r="AB4451"/>
      <c r="AC4451"/>
      <c r="AD4451"/>
    </row>
    <row r="4452" spans="27:30" ht="15">
      <c r="AA4452"/>
      <c r="AB4452"/>
      <c r="AC4452"/>
      <c r="AD4452"/>
    </row>
    <row r="4453" spans="27:30" ht="15">
      <c r="AA4453"/>
      <c r="AB4453"/>
      <c r="AC4453"/>
      <c r="AD4453"/>
    </row>
    <row r="4454" spans="27:30" ht="15">
      <c r="AA4454"/>
      <c r="AB4454"/>
      <c r="AC4454"/>
      <c r="AD4454"/>
    </row>
    <row r="4455" spans="27:30" ht="15">
      <c r="AA4455"/>
      <c r="AB4455"/>
      <c r="AC4455"/>
      <c r="AD4455"/>
    </row>
    <row r="4456" spans="27:30" ht="15">
      <c r="AA4456"/>
      <c r="AB4456"/>
      <c r="AC4456"/>
      <c r="AD4456"/>
    </row>
    <row r="4457" spans="27:30" ht="15">
      <c r="AA4457"/>
      <c r="AB4457"/>
      <c r="AC4457"/>
      <c r="AD4457"/>
    </row>
    <row r="4458" spans="27:30" ht="15">
      <c r="AA4458"/>
      <c r="AB4458"/>
      <c r="AC4458"/>
      <c r="AD4458"/>
    </row>
    <row r="4459" spans="27:30" ht="15">
      <c r="AA4459"/>
      <c r="AB4459"/>
      <c r="AC4459"/>
      <c r="AD4459"/>
    </row>
    <row r="4460" spans="27:30" ht="15">
      <c r="AA4460"/>
      <c r="AB4460"/>
      <c r="AC4460"/>
      <c r="AD4460"/>
    </row>
    <row r="4461" spans="27:30" ht="15">
      <c r="AA4461"/>
      <c r="AB4461"/>
      <c r="AC4461"/>
      <c r="AD4461"/>
    </row>
    <row r="4462" spans="27:30" ht="15">
      <c r="AA4462"/>
      <c r="AB4462"/>
      <c r="AC4462"/>
      <c r="AD4462"/>
    </row>
    <row r="4463" spans="27:30" ht="15">
      <c r="AA4463"/>
      <c r="AB4463"/>
      <c r="AC4463"/>
      <c r="AD4463"/>
    </row>
    <row r="4464" spans="27:30" ht="15">
      <c r="AA4464"/>
      <c r="AB4464"/>
      <c r="AC4464"/>
      <c r="AD4464"/>
    </row>
    <row r="4465" spans="27:30" ht="15">
      <c r="AA4465"/>
      <c r="AB4465"/>
      <c r="AC4465"/>
      <c r="AD4465"/>
    </row>
    <row r="4466" spans="27:30" ht="15">
      <c r="AA4466"/>
      <c r="AB4466"/>
      <c r="AC4466"/>
      <c r="AD4466"/>
    </row>
    <row r="4467" spans="27:30" ht="15">
      <c r="AA4467"/>
      <c r="AB4467"/>
      <c r="AC4467"/>
      <c r="AD4467"/>
    </row>
    <row r="4468" spans="27:30" ht="15">
      <c r="AA4468"/>
      <c r="AB4468"/>
      <c r="AC4468"/>
      <c r="AD4468"/>
    </row>
    <row r="4469" spans="27:30" ht="15">
      <c r="AA4469"/>
      <c r="AB4469"/>
      <c r="AC4469"/>
      <c r="AD4469"/>
    </row>
    <row r="4470" spans="27:30" ht="15">
      <c r="AA4470"/>
      <c r="AB4470"/>
      <c r="AC4470"/>
      <c r="AD4470"/>
    </row>
    <row r="4471" spans="27:30" ht="15">
      <c r="AA4471"/>
      <c r="AB4471"/>
      <c r="AC4471"/>
      <c r="AD4471"/>
    </row>
    <row r="4472" spans="27:30" ht="15">
      <c r="AA4472"/>
      <c r="AB4472"/>
      <c r="AC4472"/>
      <c r="AD4472"/>
    </row>
    <row r="4473" spans="27:30" ht="15">
      <c r="AA4473"/>
      <c r="AB4473"/>
      <c r="AC4473"/>
      <c r="AD4473"/>
    </row>
    <row r="4474" spans="27:30" ht="15">
      <c r="AA4474"/>
      <c r="AB4474"/>
      <c r="AC4474"/>
      <c r="AD4474"/>
    </row>
    <row r="4475" spans="27:30" ht="15">
      <c r="AA4475"/>
      <c r="AB4475"/>
      <c r="AC4475"/>
      <c r="AD4475"/>
    </row>
    <row r="4476" spans="27:30" ht="15">
      <c r="AA4476"/>
      <c r="AB4476"/>
      <c r="AC4476"/>
      <c r="AD4476"/>
    </row>
    <row r="4477" spans="27:30" ht="15">
      <c r="AA4477"/>
      <c r="AB4477"/>
      <c r="AC4477"/>
      <c r="AD4477"/>
    </row>
    <row r="4478" spans="27:30" ht="15">
      <c r="AA4478"/>
      <c r="AB4478"/>
      <c r="AC4478"/>
      <c r="AD4478"/>
    </row>
    <row r="4479" spans="27:30" ht="15">
      <c r="AA4479"/>
      <c r="AB4479"/>
      <c r="AC4479"/>
      <c r="AD4479"/>
    </row>
    <row r="4480" spans="27:30" ht="15">
      <c r="AA4480"/>
      <c r="AB4480"/>
      <c r="AC4480"/>
      <c r="AD4480"/>
    </row>
    <row r="4481" spans="27:30" ht="15">
      <c r="AA4481"/>
      <c r="AB4481"/>
      <c r="AC4481"/>
      <c r="AD4481"/>
    </row>
    <row r="4482" spans="27:30" ht="15">
      <c r="AA4482"/>
      <c r="AB4482"/>
      <c r="AC4482"/>
      <c r="AD4482"/>
    </row>
    <row r="4483" spans="27:30" ht="15">
      <c r="AA4483"/>
      <c r="AB4483"/>
      <c r="AC4483"/>
      <c r="AD4483"/>
    </row>
    <row r="4484" spans="27:30" ht="15">
      <c r="AA4484"/>
      <c r="AB4484"/>
      <c r="AC4484"/>
      <c r="AD4484"/>
    </row>
    <row r="4485" spans="27:30" ht="15">
      <c r="AA4485"/>
      <c r="AB4485"/>
      <c r="AC4485"/>
      <c r="AD4485"/>
    </row>
    <row r="4486" spans="27:30" ht="15">
      <c r="AA4486"/>
      <c r="AB4486"/>
      <c r="AC4486"/>
      <c r="AD4486"/>
    </row>
    <row r="4487" spans="27:30" ht="15">
      <c r="AA4487"/>
      <c r="AB4487"/>
      <c r="AC4487"/>
      <c r="AD4487"/>
    </row>
    <row r="4488" spans="27:30" ht="15">
      <c r="AA4488"/>
      <c r="AB4488"/>
      <c r="AC4488"/>
      <c r="AD4488"/>
    </row>
    <row r="4489" spans="27:30" ht="15">
      <c r="AA4489"/>
      <c r="AB4489"/>
      <c r="AC4489"/>
      <c r="AD4489"/>
    </row>
    <row r="4490" spans="27:30" ht="15">
      <c r="AA4490"/>
      <c r="AB4490"/>
      <c r="AC4490"/>
      <c r="AD4490"/>
    </row>
    <row r="4491" spans="27:30" ht="15">
      <c r="AA4491"/>
      <c r="AB4491"/>
      <c r="AC4491"/>
      <c r="AD4491"/>
    </row>
    <row r="4492" spans="27:30" ht="15">
      <c r="AA4492"/>
      <c r="AB4492"/>
      <c r="AC4492"/>
      <c r="AD4492"/>
    </row>
    <row r="4493" spans="27:30" ht="15">
      <c r="AA4493"/>
      <c r="AB4493"/>
      <c r="AC4493"/>
      <c r="AD4493"/>
    </row>
    <row r="4494" spans="27:30" ht="15">
      <c r="AA4494"/>
      <c r="AB4494"/>
      <c r="AC4494"/>
      <c r="AD4494"/>
    </row>
    <row r="4495" spans="27:30" ht="15">
      <c r="AA4495"/>
      <c r="AB4495"/>
      <c r="AC4495"/>
      <c r="AD4495"/>
    </row>
    <row r="4496" spans="27:30" ht="15">
      <c r="AA4496"/>
      <c r="AB4496"/>
      <c r="AC4496"/>
      <c r="AD4496"/>
    </row>
    <row r="4497" spans="27:30" ht="15">
      <c r="AA4497"/>
      <c r="AB4497"/>
      <c r="AC4497"/>
      <c r="AD4497"/>
    </row>
    <row r="4498" spans="27:30" ht="15">
      <c r="AA4498"/>
      <c r="AB4498"/>
      <c r="AC4498"/>
      <c r="AD4498"/>
    </row>
    <row r="4499" spans="27:30" ht="15">
      <c r="AA4499"/>
      <c r="AB4499"/>
      <c r="AC4499"/>
      <c r="AD4499"/>
    </row>
    <row r="4500" spans="27:30" ht="15">
      <c r="AA4500"/>
      <c r="AB4500"/>
      <c r="AC4500"/>
      <c r="AD4500"/>
    </row>
    <row r="4501" spans="27:30" ht="15">
      <c r="AA4501"/>
      <c r="AB4501"/>
      <c r="AC4501"/>
      <c r="AD4501"/>
    </row>
    <row r="4502" spans="27:30" ht="15">
      <c r="AA4502"/>
      <c r="AB4502"/>
      <c r="AC4502"/>
      <c r="AD4502"/>
    </row>
    <row r="4503" spans="27:30" ht="15">
      <c r="AA4503"/>
      <c r="AB4503"/>
      <c r="AC4503"/>
      <c r="AD4503"/>
    </row>
    <row r="4504" spans="27:30" ht="15">
      <c r="AA4504"/>
      <c r="AB4504"/>
      <c r="AC4504"/>
      <c r="AD4504"/>
    </row>
    <row r="4505" spans="27:30" ht="15">
      <c r="AA4505"/>
      <c r="AB4505"/>
      <c r="AC4505"/>
      <c r="AD4505"/>
    </row>
    <row r="4506" spans="27:30" ht="15">
      <c r="AA4506"/>
      <c r="AB4506"/>
      <c r="AC4506"/>
      <c r="AD4506"/>
    </row>
    <row r="4507" spans="27:30" ht="15">
      <c r="AA4507"/>
      <c r="AB4507"/>
      <c r="AC4507"/>
      <c r="AD4507"/>
    </row>
    <row r="4508" spans="27:30" ht="15">
      <c r="AA4508"/>
      <c r="AB4508"/>
      <c r="AC4508"/>
      <c r="AD4508"/>
    </row>
    <row r="4509" spans="27:30" ht="15">
      <c r="AA4509"/>
      <c r="AB4509"/>
      <c r="AC4509"/>
      <c r="AD4509"/>
    </row>
    <row r="4510" spans="27:30" ht="15">
      <c r="AA4510"/>
      <c r="AB4510"/>
      <c r="AC4510"/>
      <c r="AD4510"/>
    </row>
    <row r="4511" spans="27:30" ht="15">
      <c r="AA4511"/>
      <c r="AB4511"/>
      <c r="AC4511"/>
      <c r="AD4511"/>
    </row>
    <row r="4512" spans="27:30" ht="15">
      <c r="AA4512"/>
      <c r="AB4512"/>
      <c r="AC4512"/>
      <c r="AD4512"/>
    </row>
    <row r="4513" spans="27:30" ht="15">
      <c r="AA4513"/>
      <c r="AB4513"/>
      <c r="AC4513"/>
      <c r="AD4513"/>
    </row>
    <row r="4514" spans="27:30" ht="15">
      <c r="AA4514"/>
      <c r="AB4514"/>
      <c r="AC4514"/>
      <c r="AD4514"/>
    </row>
    <row r="4515" spans="27:30" ht="15">
      <c r="AA4515"/>
      <c r="AB4515"/>
      <c r="AC4515"/>
      <c r="AD4515"/>
    </row>
    <row r="4516" spans="27:30" ht="15">
      <c r="AA4516"/>
      <c r="AB4516"/>
      <c r="AC4516"/>
      <c r="AD4516"/>
    </row>
    <row r="4517" spans="27:30" ht="15">
      <c r="AA4517"/>
      <c r="AB4517"/>
      <c r="AC4517"/>
      <c r="AD4517"/>
    </row>
    <row r="4518" spans="27:30" ht="15">
      <c r="AA4518"/>
      <c r="AB4518"/>
      <c r="AC4518"/>
      <c r="AD4518"/>
    </row>
    <row r="4519" spans="27:30" ht="15">
      <c r="AA4519"/>
      <c r="AB4519"/>
      <c r="AC4519"/>
      <c r="AD4519"/>
    </row>
    <row r="4520" spans="27:30" ht="15">
      <c r="AA4520"/>
      <c r="AB4520"/>
      <c r="AC4520"/>
      <c r="AD4520"/>
    </row>
    <row r="4521" spans="27:30" ht="15">
      <c r="AA4521"/>
      <c r="AB4521"/>
      <c r="AC4521"/>
      <c r="AD4521"/>
    </row>
    <row r="4522" spans="27:30" ht="15">
      <c r="AA4522"/>
      <c r="AB4522"/>
      <c r="AC4522"/>
      <c r="AD4522"/>
    </row>
    <row r="4523" spans="27:30" ht="15">
      <c r="AA4523"/>
      <c r="AB4523"/>
      <c r="AC4523"/>
      <c r="AD4523"/>
    </row>
    <row r="4524" spans="27:30" ht="15">
      <c r="AA4524"/>
      <c r="AB4524"/>
      <c r="AC4524"/>
      <c r="AD4524"/>
    </row>
    <row r="4525" spans="27:30" ht="15">
      <c r="AA4525"/>
      <c r="AB4525"/>
      <c r="AC4525"/>
      <c r="AD4525"/>
    </row>
    <row r="4526" spans="27:30" ht="15">
      <c r="AA4526"/>
      <c r="AB4526"/>
      <c r="AC4526"/>
      <c r="AD4526"/>
    </row>
    <row r="4527" spans="27:30" ht="15">
      <c r="AA4527"/>
      <c r="AB4527"/>
      <c r="AC4527"/>
      <c r="AD4527"/>
    </row>
    <row r="4528" spans="27:30" ht="15">
      <c r="AA4528"/>
      <c r="AB4528"/>
      <c r="AC4528"/>
      <c r="AD4528"/>
    </row>
    <row r="4529" spans="27:30" ht="15">
      <c r="AA4529"/>
      <c r="AB4529"/>
      <c r="AC4529"/>
      <c r="AD4529"/>
    </row>
    <row r="4530" spans="27:30" ht="15">
      <c r="AA4530"/>
      <c r="AB4530"/>
      <c r="AC4530"/>
      <c r="AD4530"/>
    </row>
    <row r="4531" spans="27:30" ht="15">
      <c r="AA4531"/>
      <c r="AB4531"/>
      <c r="AC4531"/>
      <c r="AD4531"/>
    </row>
    <row r="4532" spans="27:30" ht="15">
      <c r="AA4532"/>
      <c r="AB4532"/>
      <c r="AC4532"/>
      <c r="AD4532"/>
    </row>
    <row r="4533" spans="27:30" ht="15">
      <c r="AA4533"/>
      <c r="AB4533"/>
      <c r="AC4533"/>
      <c r="AD4533"/>
    </row>
    <row r="4534" spans="27:30" ht="15">
      <c r="AA4534"/>
      <c r="AB4534"/>
      <c r="AC4534"/>
      <c r="AD4534"/>
    </row>
    <row r="4535" spans="27:30" ht="15">
      <c r="AA4535"/>
      <c r="AB4535"/>
      <c r="AC4535"/>
      <c r="AD4535"/>
    </row>
    <row r="4536" spans="27:30" ht="15">
      <c r="AA4536"/>
      <c r="AB4536"/>
      <c r="AC4536"/>
      <c r="AD4536"/>
    </row>
    <row r="4537" spans="27:30" ht="15">
      <c r="AA4537"/>
      <c r="AB4537"/>
      <c r="AC4537"/>
      <c r="AD4537"/>
    </row>
    <row r="4538" spans="27:30" ht="15">
      <c r="AA4538"/>
      <c r="AB4538"/>
      <c r="AC4538"/>
      <c r="AD4538"/>
    </row>
    <row r="4539" spans="27:30" ht="15">
      <c r="AA4539"/>
      <c r="AB4539"/>
      <c r="AC4539"/>
      <c r="AD4539"/>
    </row>
    <row r="4540" spans="27:30" ht="15">
      <c r="AA4540"/>
      <c r="AB4540"/>
      <c r="AC4540"/>
      <c r="AD4540"/>
    </row>
    <row r="4541" spans="27:30" ht="15">
      <c r="AA4541"/>
      <c r="AB4541"/>
      <c r="AC4541"/>
      <c r="AD4541"/>
    </row>
    <row r="4542" spans="27:30" ht="15">
      <c r="AA4542"/>
      <c r="AB4542"/>
      <c r="AC4542"/>
      <c r="AD4542"/>
    </row>
    <row r="4543" spans="27:30" ht="15">
      <c r="AA4543"/>
      <c r="AB4543"/>
      <c r="AC4543"/>
      <c r="AD4543"/>
    </row>
    <row r="4544" spans="27:30" ht="15">
      <c r="AA4544"/>
      <c r="AB4544"/>
      <c r="AC4544"/>
      <c r="AD4544"/>
    </row>
    <row r="4545" spans="27:30" ht="15">
      <c r="AA4545"/>
      <c r="AB4545"/>
      <c r="AC4545"/>
      <c r="AD4545"/>
    </row>
    <row r="4546" spans="27:30" ht="15">
      <c r="AA4546"/>
      <c r="AB4546"/>
      <c r="AC4546"/>
      <c r="AD4546"/>
    </row>
    <row r="4547" spans="27:30" ht="15">
      <c r="AA4547"/>
      <c r="AB4547"/>
      <c r="AC4547"/>
      <c r="AD4547"/>
    </row>
    <row r="4548" spans="27:30" ht="15">
      <c r="AA4548"/>
      <c r="AB4548"/>
      <c r="AC4548"/>
      <c r="AD4548"/>
    </row>
    <row r="4549" spans="27:30" ht="15">
      <c r="AA4549"/>
      <c r="AB4549"/>
      <c r="AC4549"/>
      <c r="AD4549"/>
    </row>
    <row r="4550" spans="27:30" ht="15">
      <c r="AA4550"/>
      <c r="AB4550"/>
      <c r="AC4550"/>
      <c r="AD4550"/>
    </row>
    <row r="4551" spans="27:30" ht="15">
      <c r="AA4551"/>
      <c r="AB4551"/>
      <c r="AC4551"/>
      <c r="AD4551"/>
    </row>
    <row r="4552" spans="27:30" ht="15">
      <c r="AA4552"/>
      <c r="AB4552"/>
      <c r="AC4552"/>
      <c r="AD4552"/>
    </row>
    <row r="4553" spans="27:30" ht="15">
      <c r="AA4553"/>
      <c r="AB4553"/>
      <c r="AC4553"/>
      <c r="AD4553"/>
    </row>
    <row r="4554" spans="27:30" ht="15">
      <c r="AA4554"/>
      <c r="AB4554"/>
      <c r="AC4554"/>
      <c r="AD4554"/>
    </row>
    <row r="4555" spans="27:30" ht="15">
      <c r="AA4555"/>
      <c r="AB4555"/>
      <c r="AC4555"/>
      <c r="AD4555"/>
    </row>
    <row r="4556" spans="27:30" ht="15">
      <c r="AA4556"/>
      <c r="AB4556"/>
      <c r="AC4556"/>
      <c r="AD4556"/>
    </row>
    <row r="4557" spans="27:30" ht="15">
      <c r="AA4557"/>
      <c r="AB4557"/>
      <c r="AC4557"/>
      <c r="AD4557"/>
    </row>
    <row r="4558" spans="27:30" ht="15">
      <c r="AA4558"/>
      <c r="AB4558"/>
      <c r="AC4558"/>
      <c r="AD4558"/>
    </row>
    <row r="4559" spans="27:30" ht="15">
      <c r="AA4559"/>
      <c r="AB4559"/>
      <c r="AC4559"/>
      <c r="AD4559"/>
    </row>
    <row r="4560" spans="27:30" ht="15">
      <c r="AA4560"/>
      <c r="AB4560"/>
      <c r="AC4560"/>
      <c r="AD4560"/>
    </row>
    <row r="4561" spans="27:30" ht="15">
      <c r="AA4561"/>
      <c r="AB4561"/>
      <c r="AC4561"/>
      <c r="AD4561"/>
    </row>
    <row r="4562" spans="27:30" ht="15">
      <c r="AA4562"/>
      <c r="AB4562"/>
      <c r="AC4562"/>
      <c r="AD4562"/>
    </row>
    <row r="4563" spans="27:30" ht="15">
      <c r="AA4563"/>
      <c r="AB4563"/>
      <c r="AC4563"/>
      <c r="AD4563"/>
    </row>
    <row r="4564" spans="27:30" ht="15">
      <c r="AA4564"/>
      <c r="AB4564"/>
      <c r="AC4564"/>
      <c r="AD4564"/>
    </row>
    <row r="4565" spans="27:30" ht="15">
      <c r="AA4565"/>
      <c r="AB4565"/>
      <c r="AC4565"/>
      <c r="AD4565"/>
    </row>
    <row r="4566" spans="27:30" ht="15">
      <c r="AA4566"/>
      <c r="AB4566"/>
      <c r="AC4566"/>
      <c r="AD4566"/>
    </row>
    <row r="4567" spans="27:30" ht="15">
      <c r="AA4567"/>
      <c r="AB4567"/>
      <c r="AC4567"/>
      <c r="AD4567"/>
    </row>
    <row r="4568" spans="27:30" ht="15">
      <c r="AA4568"/>
      <c r="AB4568"/>
      <c r="AC4568"/>
      <c r="AD4568"/>
    </row>
    <row r="4569" spans="27:30" ht="15">
      <c r="AA4569"/>
      <c r="AB4569"/>
      <c r="AC4569"/>
      <c r="AD4569"/>
    </row>
    <row r="4570" spans="27:30" ht="15">
      <c r="AA4570"/>
      <c r="AB4570"/>
      <c r="AC4570"/>
      <c r="AD4570"/>
    </row>
    <row r="4571" spans="27:30" ht="15">
      <c r="AA4571"/>
      <c r="AB4571"/>
      <c r="AC4571"/>
      <c r="AD4571"/>
    </row>
    <row r="4572" spans="27:30" ht="15">
      <c r="AA4572"/>
      <c r="AB4572"/>
      <c r="AC4572"/>
      <c r="AD4572"/>
    </row>
    <row r="4573" spans="27:30" ht="15">
      <c r="AA4573"/>
      <c r="AB4573"/>
      <c r="AC4573"/>
      <c r="AD4573"/>
    </row>
    <row r="4574" spans="27:30" ht="15">
      <c r="AA4574"/>
      <c r="AB4574"/>
      <c r="AC4574"/>
      <c r="AD4574"/>
    </row>
    <row r="4575" spans="27:30" ht="15">
      <c r="AA4575"/>
      <c r="AB4575"/>
      <c r="AC4575"/>
      <c r="AD4575"/>
    </row>
    <row r="4576" spans="27:30" ht="15">
      <c r="AA4576"/>
      <c r="AB4576"/>
      <c r="AC4576"/>
      <c r="AD4576"/>
    </row>
    <row r="4577" spans="27:30" ht="15">
      <c r="AA4577"/>
      <c r="AB4577"/>
      <c r="AC4577"/>
      <c r="AD4577"/>
    </row>
    <row r="4578" spans="27:30" ht="15">
      <c r="AA4578"/>
      <c r="AB4578"/>
      <c r="AC4578"/>
      <c r="AD4578"/>
    </row>
    <row r="4579" spans="27:30" ht="15">
      <c r="AA4579"/>
      <c r="AB4579"/>
      <c r="AC4579"/>
      <c r="AD4579"/>
    </row>
    <row r="4580" spans="27:30" ht="15">
      <c r="AA4580"/>
      <c r="AB4580"/>
      <c r="AC4580"/>
      <c r="AD4580"/>
    </row>
    <row r="4581" spans="27:30" ht="15">
      <c r="AA4581"/>
      <c r="AB4581"/>
      <c r="AC4581"/>
      <c r="AD4581"/>
    </row>
    <row r="4582" spans="27:30" ht="15">
      <c r="AA4582"/>
      <c r="AB4582"/>
      <c r="AC4582"/>
      <c r="AD4582"/>
    </row>
    <row r="4583" spans="27:30" ht="15">
      <c r="AA4583"/>
      <c r="AB4583"/>
      <c r="AC4583"/>
      <c r="AD4583"/>
    </row>
    <row r="4584" spans="27:30" ht="15">
      <c r="AA4584"/>
      <c r="AB4584"/>
      <c r="AC4584"/>
      <c r="AD4584"/>
    </row>
    <row r="4585" spans="27:30" ht="15">
      <c r="AA4585"/>
      <c r="AB4585"/>
      <c r="AC4585"/>
      <c r="AD4585"/>
    </row>
    <row r="4586" spans="27:30" ht="15">
      <c r="AA4586"/>
      <c r="AB4586"/>
      <c r="AC4586"/>
      <c r="AD4586"/>
    </row>
    <row r="4587" spans="27:30" ht="15">
      <c r="AA4587"/>
      <c r="AB4587"/>
      <c r="AC4587"/>
      <c r="AD4587"/>
    </row>
    <row r="4588" spans="27:30" ht="15">
      <c r="AA4588"/>
      <c r="AB4588"/>
      <c r="AC4588"/>
      <c r="AD4588"/>
    </row>
    <row r="4589" spans="27:30" ht="15">
      <c r="AA4589"/>
      <c r="AB4589"/>
      <c r="AC4589"/>
      <c r="AD4589"/>
    </row>
    <row r="4590" spans="27:30" ht="15">
      <c r="AA4590"/>
      <c r="AB4590"/>
      <c r="AC4590"/>
      <c r="AD4590"/>
    </row>
    <row r="4591" spans="27:30" ht="15">
      <c r="AA4591"/>
      <c r="AB4591"/>
      <c r="AC4591"/>
      <c r="AD4591"/>
    </row>
    <row r="4592" spans="27:30" ht="15">
      <c r="AA4592"/>
      <c r="AB4592"/>
      <c r="AC4592"/>
      <c r="AD4592"/>
    </row>
    <row r="4593" spans="27:30" ht="15">
      <c r="AA4593"/>
      <c r="AB4593"/>
      <c r="AC4593"/>
      <c r="AD4593"/>
    </row>
    <row r="4594" spans="27:30" ht="15">
      <c r="AA4594"/>
      <c r="AB4594"/>
      <c r="AC4594"/>
      <c r="AD4594"/>
    </row>
    <row r="4595" spans="27:30" ht="15">
      <c r="AA4595"/>
      <c r="AB4595"/>
      <c r="AC4595"/>
      <c r="AD4595"/>
    </row>
    <row r="4596" spans="27:30" ht="15">
      <c r="AA4596"/>
      <c r="AB4596"/>
      <c r="AC4596"/>
      <c r="AD4596"/>
    </row>
    <row r="4597" spans="27:30" ht="15">
      <c r="AA4597"/>
      <c r="AB4597"/>
      <c r="AC4597"/>
      <c r="AD4597"/>
    </row>
    <row r="4598" spans="27:30" ht="15">
      <c r="AA4598"/>
      <c r="AB4598"/>
      <c r="AC4598"/>
      <c r="AD4598"/>
    </row>
    <row r="4599" spans="27:30" ht="15">
      <c r="AA4599"/>
      <c r="AB4599"/>
      <c r="AC4599"/>
      <c r="AD4599"/>
    </row>
    <row r="4600" spans="27:30" ht="15">
      <c r="AA4600"/>
      <c r="AB4600"/>
      <c r="AC4600"/>
      <c r="AD4600"/>
    </row>
    <row r="4601" spans="27:30" ht="15">
      <c r="AA4601"/>
      <c r="AB4601"/>
      <c r="AC4601"/>
      <c r="AD4601"/>
    </row>
    <row r="4602" spans="27:30" ht="15">
      <c r="AA4602"/>
      <c r="AB4602"/>
      <c r="AC4602"/>
      <c r="AD4602"/>
    </row>
    <row r="4603" spans="27:30" ht="15">
      <c r="AA4603"/>
      <c r="AB4603"/>
      <c r="AC4603"/>
      <c r="AD4603"/>
    </row>
    <row r="4604" spans="27:30" ht="15">
      <c r="AA4604"/>
      <c r="AB4604"/>
      <c r="AC4604"/>
      <c r="AD4604"/>
    </row>
    <row r="4605" spans="27:30" ht="15">
      <c r="AA4605"/>
      <c r="AB4605"/>
      <c r="AC4605"/>
      <c r="AD4605"/>
    </row>
    <row r="4606" spans="27:30" ht="15">
      <c r="AA4606"/>
      <c r="AB4606"/>
      <c r="AC4606"/>
      <c r="AD4606"/>
    </row>
    <row r="4607" spans="27:30" ht="15">
      <c r="AA4607"/>
      <c r="AB4607"/>
      <c r="AC4607"/>
      <c r="AD4607"/>
    </row>
    <row r="4608" spans="27:30" ht="15">
      <c r="AA4608"/>
      <c r="AB4608"/>
      <c r="AC4608"/>
      <c r="AD4608"/>
    </row>
    <row r="4609" spans="27:30" ht="15">
      <c r="AA4609"/>
      <c r="AB4609"/>
      <c r="AC4609"/>
      <c r="AD4609"/>
    </row>
    <row r="4610" spans="27:30" ht="15">
      <c r="AA4610"/>
      <c r="AB4610"/>
      <c r="AC4610"/>
      <c r="AD4610"/>
    </row>
    <row r="4611" spans="27:30" ht="15">
      <c r="AA4611"/>
      <c r="AB4611"/>
      <c r="AC4611"/>
      <c r="AD4611"/>
    </row>
    <row r="4612" spans="27:30" ht="15">
      <c r="AA4612"/>
      <c r="AB4612"/>
      <c r="AC4612"/>
      <c r="AD4612"/>
    </row>
    <row r="4613" spans="27:30" ht="15">
      <c r="AA4613"/>
      <c r="AB4613"/>
      <c r="AC4613"/>
      <c r="AD4613"/>
    </row>
    <row r="4614" spans="27:30" ht="15">
      <c r="AA4614"/>
      <c r="AB4614"/>
      <c r="AC4614"/>
      <c r="AD4614"/>
    </row>
    <row r="4615" spans="27:30" ht="15">
      <c r="AA4615"/>
      <c r="AB4615"/>
      <c r="AC4615"/>
      <c r="AD4615"/>
    </row>
    <row r="4616" spans="27:30" ht="15">
      <c r="AA4616"/>
      <c r="AB4616"/>
      <c r="AC4616"/>
      <c r="AD4616"/>
    </row>
    <row r="4617" spans="27:30" ht="15">
      <c r="AA4617"/>
      <c r="AB4617"/>
      <c r="AC4617"/>
      <c r="AD4617"/>
    </row>
    <row r="4618" spans="27:30" ht="15">
      <c r="AA4618"/>
      <c r="AB4618"/>
      <c r="AC4618"/>
      <c r="AD4618"/>
    </row>
    <row r="4619" spans="27:30" ht="15">
      <c r="AA4619"/>
      <c r="AB4619"/>
      <c r="AC4619"/>
      <c r="AD4619"/>
    </row>
    <row r="4620" spans="27:30" ht="15">
      <c r="AA4620"/>
      <c r="AB4620"/>
      <c r="AC4620"/>
      <c r="AD4620"/>
    </row>
    <row r="4621" spans="27:30" ht="15">
      <c r="AA4621"/>
      <c r="AB4621"/>
      <c r="AC4621"/>
      <c r="AD4621"/>
    </row>
    <row r="4622" spans="27:30" ht="15">
      <c r="AA4622"/>
      <c r="AB4622"/>
      <c r="AC4622"/>
      <c r="AD4622"/>
    </row>
    <row r="4623" spans="27:30" ht="15">
      <c r="AA4623"/>
      <c r="AB4623"/>
      <c r="AC4623"/>
      <c r="AD4623"/>
    </row>
    <row r="4624" spans="27:30" ht="15">
      <c r="AA4624"/>
      <c r="AB4624"/>
      <c r="AC4624"/>
      <c r="AD4624"/>
    </row>
    <row r="4625" spans="27:30" ht="15">
      <c r="AA4625"/>
      <c r="AB4625"/>
      <c r="AC4625"/>
      <c r="AD4625"/>
    </row>
    <row r="4626" spans="27:30" ht="15">
      <c r="AA4626"/>
      <c r="AB4626"/>
      <c r="AC4626"/>
      <c r="AD4626"/>
    </row>
    <row r="4627" spans="27:30" ht="15">
      <c r="AA4627"/>
      <c r="AB4627"/>
      <c r="AC4627"/>
      <c r="AD4627"/>
    </row>
    <row r="4628" spans="27:30" ht="15">
      <c r="AA4628"/>
      <c r="AB4628"/>
      <c r="AC4628"/>
      <c r="AD4628"/>
    </row>
    <row r="4629" spans="27:30" ht="15">
      <c r="AA4629"/>
      <c r="AB4629"/>
      <c r="AC4629"/>
      <c r="AD4629"/>
    </row>
    <row r="4630" spans="27:30" ht="15">
      <c r="AA4630"/>
      <c r="AB4630"/>
      <c r="AC4630"/>
      <c r="AD4630"/>
    </row>
    <row r="4631" spans="27:30" ht="15">
      <c r="AA4631"/>
      <c r="AB4631"/>
      <c r="AC4631"/>
      <c r="AD4631"/>
    </row>
    <row r="4632" spans="27:30" ht="15">
      <c r="AA4632"/>
      <c r="AB4632"/>
      <c r="AC4632"/>
      <c r="AD4632"/>
    </row>
    <row r="4633" spans="27:30" ht="15">
      <c r="AA4633"/>
      <c r="AB4633"/>
      <c r="AC4633"/>
      <c r="AD4633"/>
    </row>
    <row r="4634" spans="27:30" ht="15">
      <c r="AA4634"/>
      <c r="AB4634"/>
      <c r="AC4634"/>
      <c r="AD4634"/>
    </row>
    <row r="4635" spans="27:30" ht="15">
      <c r="AA4635"/>
      <c r="AB4635"/>
      <c r="AC4635"/>
      <c r="AD4635"/>
    </row>
    <row r="4636" spans="27:30" ht="15">
      <c r="AA4636"/>
      <c r="AB4636"/>
      <c r="AC4636"/>
      <c r="AD4636"/>
    </row>
    <row r="4637" spans="27:30" ht="15">
      <c r="AA4637"/>
      <c r="AB4637"/>
      <c r="AC4637"/>
      <c r="AD4637"/>
    </row>
    <row r="4638" spans="27:30" ht="15">
      <c r="AA4638"/>
      <c r="AB4638"/>
      <c r="AC4638"/>
      <c r="AD4638"/>
    </row>
    <row r="4639" spans="27:30" ht="15">
      <c r="AA4639"/>
      <c r="AB4639"/>
      <c r="AC4639"/>
      <c r="AD4639"/>
    </row>
    <row r="4640" spans="27:30" ht="15">
      <c r="AA4640"/>
      <c r="AB4640"/>
      <c r="AC4640"/>
      <c r="AD4640"/>
    </row>
    <row r="4641" spans="27:30" ht="15">
      <c r="AA4641"/>
      <c r="AB4641"/>
      <c r="AC4641"/>
      <c r="AD4641"/>
    </row>
    <row r="4642" spans="27:30" ht="15">
      <c r="AA4642"/>
      <c r="AB4642"/>
      <c r="AC4642"/>
      <c r="AD4642"/>
    </row>
    <row r="4643" spans="27:30" ht="15">
      <c r="AA4643"/>
      <c r="AB4643"/>
      <c r="AC4643"/>
      <c r="AD4643"/>
    </row>
    <row r="4644" spans="27:30" ht="15">
      <c r="AA4644"/>
      <c r="AB4644"/>
      <c r="AC4644"/>
      <c r="AD4644"/>
    </row>
    <row r="4645" spans="27:30" ht="15">
      <c r="AA4645"/>
      <c r="AB4645"/>
      <c r="AC4645"/>
      <c r="AD4645"/>
    </row>
    <row r="4646" spans="27:30" ht="15">
      <c r="AA4646"/>
      <c r="AB4646"/>
      <c r="AC4646"/>
      <c r="AD4646"/>
    </row>
    <row r="4647" spans="27:30" ht="15">
      <c r="AA4647"/>
      <c r="AB4647"/>
      <c r="AC4647"/>
      <c r="AD4647"/>
    </row>
    <row r="4648" spans="27:30" ht="15">
      <c r="AA4648"/>
      <c r="AB4648"/>
      <c r="AC4648"/>
      <c r="AD4648"/>
    </row>
    <row r="4649" spans="27:30" ht="15">
      <c r="AA4649"/>
      <c r="AB4649"/>
      <c r="AC4649"/>
      <c r="AD4649"/>
    </row>
    <row r="4650" spans="27:30" ht="15">
      <c r="AA4650"/>
      <c r="AB4650"/>
      <c r="AC4650"/>
      <c r="AD4650"/>
    </row>
    <row r="4651" spans="27:30" ht="15">
      <c r="AA4651"/>
      <c r="AB4651"/>
      <c r="AC4651"/>
      <c r="AD4651"/>
    </row>
    <row r="4652" spans="27:30" ht="15">
      <c r="AA4652"/>
      <c r="AB4652"/>
      <c r="AC4652"/>
      <c r="AD4652"/>
    </row>
    <row r="4653" spans="27:30" ht="15">
      <c r="AA4653"/>
      <c r="AB4653"/>
      <c r="AC4653"/>
      <c r="AD4653"/>
    </row>
    <row r="4654" spans="27:30" ht="15">
      <c r="AA4654"/>
      <c r="AB4654"/>
      <c r="AC4654"/>
      <c r="AD4654"/>
    </row>
    <row r="4655" spans="27:30" ht="15">
      <c r="AA4655"/>
      <c r="AB4655"/>
      <c r="AC4655"/>
      <c r="AD4655"/>
    </row>
    <row r="4656" spans="27:30" ht="15">
      <c r="AA4656"/>
      <c r="AB4656"/>
      <c r="AC4656"/>
      <c r="AD4656"/>
    </row>
    <row r="4657" spans="27:30" ht="15">
      <c r="AA4657"/>
      <c r="AB4657"/>
      <c r="AC4657"/>
      <c r="AD4657"/>
    </row>
    <row r="4658" spans="27:30" ht="15">
      <c r="AA4658"/>
      <c r="AB4658"/>
      <c r="AC4658"/>
      <c r="AD4658"/>
    </row>
    <row r="4659" spans="27:30" ht="15">
      <c r="AA4659"/>
      <c r="AB4659"/>
      <c r="AC4659"/>
      <c r="AD4659"/>
    </row>
    <row r="4660" spans="27:30" ht="15">
      <c r="AA4660"/>
      <c r="AB4660"/>
      <c r="AC4660"/>
      <c r="AD4660"/>
    </row>
    <row r="4661" spans="27:30" ht="15">
      <c r="AA4661"/>
      <c r="AB4661"/>
      <c r="AC4661"/>
      <c r="AD4661"/>
    </row>
    <row r="4662" spans="27:30" ht="15">
      <c r="AA4662"/>
      <c r="AB4662"/>
      <c r="AC4662"/>
      <c r="AD4662"/>
    </row>
    <row r="4663" spans="27:30" ht="15">
      <c r="AA4663"/>
      <c r="AB4663"/>
      <c r="AC4663"/>
      <c r="AD4663"/>
    </row>
    <row r="4664" spans="27:30" ht="15">
      <c r="AA4664"/>
      <c r="AB4664"/>
      <c r="AC4664"/>
      <c r="AD4664"/>
    </row>
    <row r="4665" spans="27:30" ht="15">
      <c r="AA4665"/>
      <c r="AB4665"/>
      <c r="AC4665"/>
      <c r="AD4665"/>
    </row>
    <row r="4666" spans="27:30" ht="15">
      <c r="AA4666"/>
      <c r="AB4666"/>
      <c r="AC4666"/>
      <c r="AD4666"/>
    </row>
    <row r="4667" spans="27:30" ht="15">
      <c r="AA4667"/>
      <c r="AB4667"/>
      <c r="AC4667"/>
      <c r="AD4667"/>
    </row>
    <row r="4668" spans="27:30" ht="15">
      <c r="AA4668"/>
      <c r="AB4668"/>
      <c r="AC4668"/>
      <c r="AD4668"/>
    </row>
    <row r="4669" spans="27:30" ht="15">
      <c r="AA4669"/>
      <c r="AB4669"/>
      <c r="AC4669"/>
      <c r="AD4669"/>
    </row>
    <row r="4670" spans="27:30" ht="15">
      <c r="AA4670"/>
      <c r="AB4670"/>
      <c r="AC4670"/>
      <c r="AD4670"/>
    </row>
    <row r="4671" spans="27:30" ht="15">
      <c r="AA4671"/>
      <c r="AB4671"/>
      <c r="AC4671"/>
      <c r="AD4671"/>
    </row>
    <row r="4672" spans="27:30" ht="15">
      <c r="AA4672"/>
      <c r="AB4672"/>
      <c r="AC4672"/>
      <c r="AD4672"/>
    </row>
    <row r="4673" spans="27:30" ht="15">
      <c r="AA4673"/>
      <c r="AB4673"/>
      <c r="AC4673"/>
      <c r="AD4673"/>
    </row>
    <row r="4674" spans="27:30" ht="15">
      <c r="AA4674"/>
      <c r="AB4674"/>
      <c r="AC4674"/>
      <c r="AD4674"/>
    </row>
    <row r="4675" spans="27:30" ht="15">
      <c r="AA4675"/>
      <c r="AB4675"/>
      <c r="AC4675"/>
      <c r="AD4675"/>
    </row>
    <row r="4676" spans="27:30" ht="15">
      <c r="AA4676"/>
      <c r="AB4676"/>
      <c r="AC4676"/>
      <c r="AD4676"/>
    </row>
    <row r="4677" spans="27:30" ht="15">
      <c r="AA4677"/>
      <c r="AB4677"/>
      <c r="AC4677"/>
      <c r="AD4677"/>
    </row>
    <row r="4678" spans="27:30" ht="15">
      <c r="AA4678"/>
      <c r="AB4678"/>
      <c r="AC4678"/>
      <c r="AD4678"/>
    </row>
    <row r="4679" spans="27:30" ht="15">
      <c r="AA4679"/>
      <c r="AB4679"/>
      <c r="AC4679"/>
      <c r="AD4679"/>
    </row>
    <row r="4680" spans="27:30" ht="15">
      <c r="AA4680"/>
      <c r="AB4680"/>
      <c r="AC4680"/>
      <c r="AD4680"/>
    </row>
    <row r="4681" spans="27:30" ht="15">
      <c r="AA4681"/>
      <c r="AB4681"/>
      <c r="AC4681"/>
      <c r="AD4681"/>
    </row>
    <row r="4682" spans="27:30" ht="15">
      <c r="AA4682"/>
      <c r="AB4682"/>
      <c r="AC4682"/>
      <c r="AD4682"/>
    </row>
    <row r="4683" spans="27:30" ht="15">
      <c r="AA4683"/>
      <c r="AB4683"/>
      <c r="AC4683"/>
      <c r="AD4683"/>
    </row>
    <row r="4684" spans="27:30" ht="15">
      <c r="AA4684"/>
      <c r="AB4684"/>
      <c r="AC4684"/>
      <c r="AD4684"/>
    </row>
    <row r="4685" spans="27:30" ht="15">
      <c r="AA4685"/>
      <c r="AB4685"/>
      <c r="AC4685"/>
      <c r="AD4685"/>
    </row>
    <row r="4686" spans="27:30" ht="15">
      <c r="AA4686"/>
      <c r="AB4686"/>
      <c r="AC4686"/>
      <c r="AD4686"/>
    </row>
    <row r="4687" spans="27:30" ht="15">
      <c r="AA4687"/>
      <c r="AB4687"/>
      <c r="AC4687"/>
      <c r="AD4687"/>
    </row>
    <row r="4688" spans="27:30" ht="15">
      <c r="AA4688"/>
      <c r="AB4688"/>
      <c r="AC4688"/>
      <c r="AD4688"/>
    </row>
    <row r="4689" spans="27:30" ht="15">
      <c r="AA4689"/>
      <c r="AB4689"/>
      <c r="AC4689"/>
      <c r="AD4689"/>
    </row>
    <row r="4690" spans="27:30" ht="15">
      <c r="AA4690"/>
      <c r="AB4690"/>
      <c r="AC4690"/>
      <c r="AD4690"/>
    </row>
    <row r="4691" spans="27:30" ht="15">
      <c r="AA4691"/>
      <c r="AB4691"/>
      <c r="AC4691"/>
      <c r="AD4691"/>
    </row>
    <row r="4692" spans="27:30" ht="15">
      <c r="AA4692"/>
      <c r="AB4692"/>
      <c r="AC4692"/>
      <c r="AD4692"/>
    </row>
    <row r="4693" spans="27:30" ht="15">
      <c r="AA4693"/>
      <c r="AB4693"/>
      <c r="AC4693"/>
      <c r="AD4693"/>
    </row>
    <row r="4694" spans="27:30" ht="15">
      <c r="AA4694"/>
      <c r="AB4694"/>
      <c r="AC4694"/>
      <c r="AD4694"/>
    </row>
    <row r="4695" spans="27:30" ht="15">
      <c r="AA4695"/>
      <c r="AB4695"/>
      <c r="AC4695"/>
      <c r="AD4695"/>
    </row>
    <row r="4696" spans="27:30" ht="15">
      <c r="AA4696"/>
      <c r="AB4696"/>
      <c r="AC4696"/>
      <c r="AD4696"/>
    </row>
    <row r="4697" spans="27:30" ht="15">
      <c r="AA4697"/>
      <c r="AB4697"/>
      <c r="AC4697"/>
      <c r="AD4697"/>
    </row>
    <row r="4698" spans="27:30" ht="15">
      <c r="AA4698"/>
      <c r="AB4698"/>
      <c r="AC4698"/>
      <c r="AD4698"/>
    </row>
    <row r="4699" spans="27:30" ht="15">
      <c r="AA4699"/>
      <c r="AB4699"/>
      <c r="AC4699"/>
      <c r="AD4699"/>
    </row>
    <row r="4700" spans="27:30" ht="15">
      <c r="AA4700"/>
      <c r="AB4700"/>
      <c r="AC4700"/>
      <c r="AD4700"/>
    </row>
    <row r="4701" spans="27:30" ht="15">
      <c r="AA4701"/>
      <c r="AB4701"/>
      <c r="AC4701"/>
      <c r="AD4701"/>
    </row>
    <row r="4702" spans="27:30" ht="15">
      <c r="AA4702"/>
      <c r="AB4702"/>
      <c r="AC4702"/>
      <c r="AD4702"/>
    </row>
    <row r="4703" spans="27:30" ht="15">
      <c r="AA4703"/>
      <c r="AB4703"/>
      <c r="AC4703"/>
      <c r="AD4703"/>
    </row>
    <row r="4704" spans="27:30" ht="15">
      <c r="AA4704"/>
      <c r="AB4704"/>
      <c r="AC4704"/>
      <c r="AD4704"/>
    </row>
    <row r="4705" spans="27:30" ht="15">
      <c r="AA4705"/>
      <c r="AB4705"/>
      <c r="AC4705"/>
      <c r="AD4705"/>
    </row>
    <row r="4706" spans="27:30" ht="15">
      <c r="AA4706"/>
      <c r="AB4706"/>
      <c r="AC4706"/>
      <c r="AD4706"/>
    </row>
    <row r="4707" spans="27:30" ht="15">
      <c r="AA4707"/>
      <c r="AB4707"/>
      <c r="AC4707"/>
      <c r="AD4707"/>
    </row>
    <row r="4708" spans="27:30" ht="15">
      <c r="AA4708"/>
      <c r="AB4708"/>
      <c r="AC4708"/>
      <c r="AD4708"/>
    </row>
    <row r="4709" spans="27:30" ht="15">
      <c r="AA4709"/>
      <c r="AB4709"/>
      <c r="AC4709"/>
      <c r="AD4709"/>
    </row>
    <row r="4710" spans="27:30" ht="15">
      <c r="AA4710"/>
      <c r="AB4710"/>
      <c r="AC4710"/>
      <c r="AD4710"/>
    </row>
    <row r="4711" spans="27:30" ht="15">
      <c r="AA4711"/>
      <c r="AB4711"/>
      <c r="AC4711"/>
      <c r="AD4711"/>
    </row>
    <row r="4712" spans="27:30" ht="15">
      <c r="AA4712"/>
      <c r="AB4712"/>
      <c r="AC4712"/>
      <c r="AD4712"/>
    </row>
    <row r="4713" spans="27:30" ht="15">
      <c r="AA4713"/>
      <c r="AB4713"/>
      <c r="AC4713"/>
      <c r="AD4713"/>
    </row>
    <row r="4714" spans="27:30" ht="15">
      <c r="AA4714"/>
      <c r="AB4714"/>
      <c r="AC4714"/>
      <c r="AD4714"/>
    </row>
    <row r="4715" spans="27:30" ht="15">
      <c r="AA4715"/>
      <c r="AB4715"/>
      <c r="AC4715"/>
      <c r="AD4715"/>
    </row>
    <row r="4716" spans="27:30" ht="15">
      <c r="AA4716"/>
      <c r="AB4716"/>
      <c r="AC4716"/>
      <c r="AD4716"/>
    </row>
    <row r="4717" spans="27:30" ht="15">
      <c r="AA4717"/>
      <c r="AB4717"/>
      <c r="AC4717"/>
      <c r="AD4717"/>
    </row>
    <row r="4718" spans="27:30" ht="15">
      <c r="AA4718"/>
      <c r="AB4718"/>
      <c r="AC4718"/>
      <c r="AD4718"/>
    </row>
    <row r="4719" spans="27:30" ht="15">
      <c r="AA4719"/>
      <c r="AB4719"/>
      <c r="AC4719"/>
      <c r="AD4719"/>
    </row>
    <row r="4720" spans="27:30" ht="15">
      <c r="AA4720"/>
      <c r="AB4720"/>
      <c r="AC4720"/>
      <c r="AD4720"/>
    </row>
    <row r="4721" spans="27:30" ht="15">
      <c r="AA4721"/>
      <c r="AB4721"/>
      <c r="AC4721"/>
      <c r="AD4721"/>
    </row>
    <row r="4722" spans="27:30" ht="15">
      <c r="AA4722"/>
      <c r="AB4722"/>
      <c r="AC4722"/>
      <c r="AD4722"/>
    </row>
    <row r="4723" spans="27:30" ht="15">
      <c r="AA4723"/>
      <c r="AB4723"/>
      <c r="AC4723"/>
      <c r="AD4723"/>
    </row>
    <row r="4724" spans="27:30" ht="15">
      <c r="AA4724"/>
      <c r="AB4724"/>
      <c r="AC4724"/>
      <c r="AD4724"/>
    </row>
    <row r="4725" spans="27:30" ht="15">
      <c r="AA4725"/>
      <c r="AB4725"/>
      <c r="AC4725"/>
      <c r="AD4725"/>
    </row>
    <row r="4726" spans="27:30" ht="15">
      <c r="AA4726"/>
      <c r="AB4726"/>
      <c r="AC4726"/>
      <c r="AD4726"/>
    </row>
    <row r="4727" spans="27:30" ht="15">
      <c r="AA4727"/>
      <c r="AB4727"/>
      <c r="AC4727"/>
      <c r="AD4727"/>
    </row>
    <row r="4728" spans="27:30" ht="15">
      <c r="AA4728"/>
      <c r="AB4728"/>
      <c r="AC4728"/>
      <c r="AD4728"/>
    </row>
    <row r="4729" spans="27:30" ht="15">
      <c r="AA4729"/>
      <c r="AB4729"/>
      <c r="AC4729"/>
      <c r="AD4729"/>
    </row>
    <row r="4730" spans="27:30" ht="15">
      <c r="AA4730"/>
      <c r="AB4730"/>
      <c r="AC4730"/>
      <c r="AD4730"/>
    </row>
    <row r="4731" spans="27:30" ht="15">
      <c r="AA4731"/>
      <c r="AB4731"/>
      <c r="AC4731"/>
      <c r="AD4731"/>
    </row>
    <row r="4732" spans="27:30" ht="15">
      <c r="AA4732"/>
      <c r="AB4732"/>
      <c r="AC4732"/>
      <c r="AD4732"/>
    </row>
    <row r="4733" spans="27:30" ht="15">
      <c r="AA4733"/>
      <c r="AB4733"/>
      <c r="AC4733"/>
      <c r="AD4733"/>
    </row>
    <row r="4734" spans="27:30" ht="15">
      <c r="AA4734"/>
      <c r="AB4734"/>
      <c r="AC4734"/>
      <c r="AD4734"/>
    </row>
    <row r="4735" spans="27:30" ht="15">
      <c r="AA4735"/>
      <c r="AB4735"/>
      <c r="AC4735"/>
      <c r="AD4735"/>
    </row>
    <row r="4736" spans="27:30" ht="15">
      <c r="AA4736"/>
      <c r="AB4736"/>
      <c r="AC4736"/>
      <c r="AD4736"/>
    </row>
    <row r="4737" spans="27:30" ht="15">
      <c r="AA4737"/>
      <c r="AB4737"/>
      <c r="AC4737"/>
      <c r="AD4737"/>
    </row>
    <row r="4738" spans="27:30" ht="15">
      <c r="AA4738"/>
      <c r="AB4738"/>
      <c r="AC4738"/>
      <c r="AD4738"/>
    </row>
    <row r="4739" spans="27:30" ht="15">
      <c r="AA4739"/>
      <c r="AB4739"/>
      <c r="AC4739"/>
      <c r="AD4739"/>
    </row>
    <row r="4740" spans="27:30" ht="15">
      <c r="AA4740"/>
      <c r="AB4740"/>
      <c r="AC4740"/>
      <c r="AD4740"/>
    </row>
    <row r="4741" spans="27:30" ht="15">
      <c r="AA4741"/>
      <c r="AB4741"/>
      <c r="AC4741"/>
      <c r="AD4741"/>
    </row>
    <row r="4742" spans="27:30" ht="15">
      <c r="AA4742"/>
      <c r="AB4742"/>
      <c r="AC4742"/>
      <c r="AD4742"/>
    </row>
    <row r="4743" spans="27:30" ht="15">
      <c r="AA4743"/>
      <c r="AB4743"/>
      <c r="AC4743"/>
      <c r="AD4743"/>
    </row>
    <row r="4744" spans="27:30" ht="15">
      <c r="AA4744"/>
      <c r="AB4744"/>
      <c r="AC4744"/>
      <c r="AD4744"/>
    </row>
    <row r="4745" spans="27:30" ht="15">
      <c r="AA4745"/>
      <c r="AB4745"/>
      <c r="AC4745"/>
      <c r="AD4745"/>
    </row>
    <row r="4746" spans="27:30" ht="15">
      <c r="AA4746"/>
      <c r="AB4746"/>
      <c r="AC4746"/>
      <c r="AD4746"/>
    </row>
    <row r="4747" spans="27:30" ht="15">
      <c r="AA4747"/>
      <c r="AB4747"/>
      <c r="AC4747"/>
      <c r="AD4747"/>
    </row>
    <row r="4748" spans="27:30" ht="15">
      <c r="AA4748"/>
      <c r="AB4748"/>
      <c r="AC4748"/>
      <c r="AD4748"/>
    </row>
    <row r="4749" spans="27:30" ht="15">
      <c r="AA4749"/>
      <c r="AB4749"/>
      <c r="AC4749"/>
      <c r="AD4749"/>
    </row>
    <row r="4750" spans="27:30" ht="15">
      <c r="AA4750"/>
      <c r="AB4750"/>
      <c r="AC4750"/>
      <c r="AD4750"/>
    </row>
    <row r="4751" spans="27:30" ht="15">
      <c r="AA4751"/>
      <c r="AB4751"/>
      <c r="AC4751"/>
      <c r="AD4751"/>
    </row>
    <row r="4752" spans="27:30" ht="15">
      <c r="AA4752"/>
      <c r="AB4752"/>
      <c r="AC4752"/>
      <c r="AD4752"/>
    </row>
    <row r="4753" spans="27:30" ht="15">
      <c r="AA4753"/>
      <c r="AB4753"/>
      <c r="AC4753"/>
      <c r="AD4753"/>
    </row>
    <row r="4754" spans="27:30" ht="15">
      <c r="AA4754"/>
      <c r="AB4754"/>
      <c r="AC4754"/>
      <c r="AD4754"/>
    </row>
    <row r="4755" spans="27:30" ht="15">
      <c r="AA4755"/>
      <c r="AB4755"/>
      <c r="AC4755"/>
      <c r="AD4755"/>
    </row>
    <row r="4756" spans="27:30" ht="15">
      <c r="AA4756"/>
      <c r="AB4756"/>
      <c r="AC4756"/>
      <c r="AD4756"/>
    </row>
    <row r="4757" spans="27:30" ht="15">
      <c r="AA4757"/>
      <c r="AB4757"/>
      <c r="AC4757"/>
      <c r="AD4757"/>
    </row>
    <row r="4758" spans="27:30" ht="15">
      <c r="AA4758"/>
      <c r="AB4758"/>
      <c r="AC4758"/>
      <c r="AD4758"/>
    </row>
    <row r="4759" spans="27:30" ht="15">
      <c r="AA4759"/>
      <c r="AB4759"/>
      <c r="AC4759"/>
      <c r="AD4759"/>
    </row>
    <row r="4760" spans="27:30" ht="15">
      <c r="AA4760"/>
      <c r="AB4760"/>
      <c r="AC4760"/>
      <c r="AD4760"/>
    </row>
    <row r="4761" spans="27:30" ht="15">
      <c r="AA4761"/>
      <c r="AB4761"/>
      <c r="AC4761"/>
      <c r="AD4761"/>
    </row>
    <row r="4762" spans="27:30" ht="15">
      <c r="AA4762"/>
      <c r="AB4762"/>
      <c r="AC4762"/>
      <c r="AD4762"/>
    </row>
    <row r="4763" spans="27:30" ht="15">
      <c r="AA4763"/>
      <c r="AB4763"/>
      <c r="AC4763"/>
      <c r="AD4763"/>
    </row>
    <row r="4764" spans="27:30" ht="15">
      <c r="AA4764"/>
      <c r="AB4764"/>
      <c r="AC4764"/>
      <c r="AD4764"/>
    </row>
    <row r="4765" spans="27:30" ht="15">
      <c r="AA4765"/>
      <c r="AB4765"/>
      <c r="AC4765"/>
      <c r="AD4765"/>
    </row>
    <row r="4766" spans="27:30" ht="15">
      <c r="AA4766"/>
      <c r="AB4766"/>
      <c r="AC4766"/>
      <c r="AD4766"/>
    </row>
    <row r="4767" spans="27:30" ht="15">
      <c r="AA4767"/>
      <c r="AB4767"/>
      <c r="AC4767"/>
      <c r="AD4767"/>
    </row>
    <row r="4768" spans="27:30" ht="15">
      <c r="AA4768"/>
      <c r="AB4768"/>
      <c r="AC4768"/>
      <c r="AD4768"/>
    </row>
    <row r="4769" spans="27:30" ht="15">
      <c r="AA4769"/>
      <c r="AB4769"/>
      <c r="AC4769"/>
      <c r="AD4769"/>
    </row>
    <row r="4770" spans="27:30" ht="15">
      <c r="AA4770"/>
      <c r="AB4770"/>
      <c r="AC4770"/>
      <c r="AD4770"/>
    </row>
    <row r="4771" spans="27:30" ht="15">
      <c r="AA4771"/>
      <c r="AB4771"/>
      <c r="AC4771"/>
      <c r="AD4771"/>
    </row>
    <row r="4772" spans="27:30" ht="15">
      <c r="AA4772"/>
      <c r="AB4772"/>
      <c r="AC4772"/>
      <c r="AD4772"/>
    </row>
    <row r="4773" spans="27:30" ht="15">
      <c r="AA4773"/>
      <c r="AB4773"/>
      <c r="AC4773"/>
      <c r="AD4773"/>
    </row>
    <row r="4774" spans="27:30" ht="15">
      <c r="AA4774"/>
      <c r="AB4774"/>
      <c r="AC4774"/>
      <c r="AD4774"/>
    </row>
    <row r="4775" spans="27:30" ht="15">
      <c r="AA4775"/>
      <c r="AB4775"/>
      <c r="AC4775"/>
      <c r="AD4775"/>
    </row>
    <row r="4776" spans="27:30" ht="15">
      <c r="AA4776"/>
      <c r="AB4776"/>
      <c r="AC4776"/>
      <c r="AD4776"/>
    </row>
    <row r="4777" spans="27:30" ht="15">
      <c r="AA4777"/>
      <c r="AB4777"/>
      <c r="AC4777"/>
      <c r="AD4777"/>
    </row>
    <row r="4778" spans="27:30" ht="15">
      <c r="AA4778"/>
      <c r="AB4778"/>
      <c r="AC4778"/>
      <c r="AD4778"/>
    </row>
    <row r="4779" spans="27:30" ht="15">
      <c r="AA4779"/>
      <c r="AB4779"/>
      <c r="AC4779"/>
      <c r="AD4779"/>
    </row>
    <row r="4780" spans="27:30" ht="15">
      <c r="AA4780"/>
      <c r="AB4780"/>
      <c r="AC4780"/>
      <c r="AD4780"/>
    </row>
    <row r="4781" spans="27:30" ht="15">
      <c r="AA4781"/>
      <c r="AB4781"/>
      <c r="AC4781"/>
      <c r="AD4781"/>
    </row>
    <row r="4782" spans="27:30" ht="15">
      <c r="AA4782"/>
      <c r="AB4782"/>
      <c r="AC4782"/>
      <c r="AD4782"/>
    </row>
    <row r="4783" spans="27:30" ht="15">
      <c r="AA4783"/>
      <c r="AB4783"/>
      <c r="AC4783"/>
      <c r="AD4783"/>
    </row>
    <row r="4784" spans="27:30" ht="15">
      <c r="AA4784"/>
      <c r="AB4784"/>
      <c r="AC4784"/>
      <c r="AD4784"/>
    </row>
    <row r="4785" spans="27:30" ht="15">
      <c r="AA4785"/>
      <c r="AB4785"/>
      <c r="AC4785"/>
      <c r="AD4785"/>
    </row>
    <row r="4786" spans="27:30" ht="15">
      <c r="AA4786"/>
      <c r="AB4786"/>
      <c r="AC4786"/>
      <c r="AD4786"/>
    </row>
    <row r="4787" spans="27:30" ht="15">
      <c r="AA4787"/>
      <c r="AB4787"/>
      <c r="AC4787"/>
      <c r="AD4787"/>
    </row>
    <row r="4788" spans="27:30" ht="15">
      <c r="AA4788"/>
      <c r="AB4788"/>
      <c r="AC4788"/>
      <c r="AD4788"/>
    </row>
    <row r="4789" spans="27:30" ht="15">
      <c r="AA4789"/>
      <c r="AB4789"/>
      <c r="AC4789"/>
      <c r="AD4789"/>
    </row>
    <row r="4790" spans="27:30" ht="15">
      <c r="AA4790"/>
      <c r="AB4790"/>
      <c r="AC4790"/>
      <c r="AD4790"/>
    </row>
    <row r="4791" spans="27:30" ht="15">
      <c r="AA4791"/>
      <c r="AB4791"/>
      <c r="AC4791"/>
      <c r="AD4791"/>
    </row>
    <row r="4792" spans="27:30" ht="15">
      <c r="AA4792"/>
      <c r="AB4792"/>
      <c r="AC4792"/>
      <c r="AD4792"/>
    </row>
    <row r="4793" spans="27:30" ht="15">
      <c r="AA4793"/>
      <c r="AB4793"/>
      <c r="AC4793"/>
      <c r="AD4793"/>
    </row>
    <row r="4794" spans="27:30" ht="15">
      <c r="AA4794"/>
      <c r="AB4794"/>
      <c r="AC4794"/>
      <c r="AD4794"/>
    </row>
    <row r="4795" spans="27:30" ht="15">
      <c r="AA4795"/>
      <c r="AB4795"/>
      <c r="AC4795"/>
      <c r="AD4795"/>
    </row>
    <row r="4796" spans="27:30" ht="15">
      <c r="AA4796"/>
      <c r="AB4796"/>
      <c r="AC4796"/>
      <c r="AD4796"/>
    </row>
    <row r="4797" spans="27:30" ht="15">
      <c r="AA4797"/>
      <c r="AB4797"/>
      <c r="AC4797"/>
      <c r="AD4797"/>
    </row>
    <row r="4798" spans="27:30" ht="15">
      <c r="AA4798"/>
      <c r="AB4798"/>
      <c r="AC4798"/>
      <c r="AD4798"/>
    </row>
    <row r="4799" spans="27:30" ht="15">
      <c r="AA4799"/>
      <c r="AB4799"/>
      <c r="AC4799"/>
      <c r="AD4799"/>
    </row>
    <row r="4800" spans="27:30" ht="15">
      <c r="AA4800"/>
      <c r="AB4800"/>
      <c r="AC4800"/>
      <c r="AD4800"/>
    </row>
    <row r="4801" spans="27:30" ht="15">
      <c r="AA4801"/>
      <c r="AB4801"/>
      <c r="AC4801"/>
      <c r="AD4801"/>
    </row>
    <row r="4802" spans="27:30" ht="15">
      <c r="AA4802"/>
      <c r="AB4802"/>
      <c r="AC4802"/>
      <c r="AD4802"/>
    </row>
    <row r="4803" spans="27:30" ht="15">
      <c r="AA4803"/>
      <c r="AB4803"/>
      <c r="AC4803"/>
      <c r="AD4803"/>
    </row>
    <row r="4804" spans="27:30" ht="15">
      <c r="AA4804"/>
      <c r="AB4804"/>
      <c r="AC4804"/>
      <c r="AD4804"/>
    </row>
    <row r="4805" spans="27:30" ht="15">
      <c r="AA4805"/>
      <c r="AB4805"/>
      <c r="AC4805"/>
      <c r="AD4805"/>
    </row>
    <row r="4806" spans="27:30" ht="15">
      <c r="AA4806"/>
      <c r="AB4806"/>
      <c r="AC4806"/>
      <c r="AD4806"/>
    </row>
    <row r="4807" spans="27:30" ht="15">
      <c r="AA4807"/>
      <c r="AB4807"/>
      <c r="AC4807"/>
      <c r="AD4807"/>
    </row>
    <row r="4808" spans="27:30" ht="15">
      <c r="AA4808"/>
      <c r="AB4808"/>
      <c r="AC4808"/>
      <c r="AD4808"/>
    </row>
    <row r="4809" spans="27:30" ht="15">
      <c r="AA4809"/>
      <c r="AB4809"/>
      <c r="AC4809"/>
      <c r="AD4809"/>
    </row>
    <row r="4810" spans="27:30" ht="15">
      <c r="AA4810"/>
      <c r="AB4810"/>
      <c r="AC4810"/>
      <c r="AD4810"/>
    </row>
    <row r="4811" spans="27:30" ht="15">
      <c r="AA4811"/>
      <c r="AB4811"/>
      <c r="AC4811"/>
      <c r="AD4811"/>
    </row>
    <row r="4812" spans="27:30" ht="15">
      <c r="AA4812"/>
      <c r="AB4812"/>
      <c r="AC4812"/>
      <c r="AD4812"/>
    </row>
    <row r="4813" spans="27:30" ht="15">
      <c r="AA4813"/>
      <c r="AB4813"/>
      <c r="AC4813"/>
      <c r="AD4813"/>
    </row>
    <row r="4814" spans="27:30" ht="15">
      <c r="AA4814"/>
      <c r="AB4814"/>
      <c r="AC4814"/>
      <c r="AD4814"/>
    </row>
    <row r="4815" spans="27:30" ht="15">
      <c r="AA4815"/>
      <c r="AB4815"/>
      <c r="AC4815"/>
      <c r="AD4815"/>
    </row>
    <row r="4816" spans="27:30" ht="15">
      <c r="AA4816"/>
      <c r="AB4816"/>
      <c r="AC4816"/>
      <c r="AD4816"/>
    </row>
    <row r="4817" spans="27:30" ht="15">
      <c r="AA4817"/>
      <c r="AB4817"/>
      <c r="AC4817"/>
      <c r="AD4817"/>
    </row>
    <row r="4818" spans="27:30" ht="15">
      <c r="AA4818"/>
      <c r="AB4818"/>
      <c r="AC4818"/>
      <c r="AD4818"/>
    </row>
    <row r="4819" spans="27:30" ht="15">
      <c r="AA4819"/>
      <c r="AB4819"/>
      <c r="AC4819"/>
      <c r="AD4819"/>
    </row>
    <row r="4820" spans="27:30" ht="15">
      <c r="AA4820"/>
      <c r="AB4820"/>
      <c r="AC4820"/>
      <c r="AD4820"/>
    </row>
    <row r="4821" spans="27:30" ht="15">
      <c r="AA4821"/>
      <c r="AB4821"/>
      <c r="AC4821"/>
      <c r="AD4821"/>
    </row>
    <row r="4822" spans="27:30" ht="15">
      <c r="AA4822"/>
      <c r="AB4822"/>
      <c r="AC4822"/>
      <c r="AD4822"/>
    </row>
    <row r="4823" spans="27:30" ht="15">
      <c r="AA4823"/>
      <c r="AB4823"/>
      <c r="AC4823"/>
      <c r="AD4823"/>
    </row>
    <row r="4824" spans="27:30" ht="15">
      <c r="AA4824"/>
      <c r="AB4824"/>
      <c r="AC4824"/>
      <c r="AD4824"/>
    </row>
    <row r="4825" spans="27:30" ht="15">
      <c r="AA4825"/>
      <c r="AB4825"/>
      <c r="AC4825"/>
      <c r="AD4825"/>
    </row>
    <row r="4826" spans="27:30" ht="15">
      <c r="AA4826"/>
      <c r="AB4826"/>
      <c r="AC4826"/>
      <c r="AD4826"/>
    </row>
    <row r="4827" spans="27:30" ht="15">
      <c r="AA4827"/>
      <c r="AB4827"/>
      <c r="AC4827"/>
      <c r="AD4827"/>
    </row>
    <row r="4828" spans="27:30" ht="15">
      <c r="AA4828"/>
      <c r="AB4828"/>
      <c r="AC4828"/>
      <c r="AD4828"/>
    </row>
    <row r="4829" spans="27:30" ht="15">
      <c r="AA4829"/>
      <c r="AB4829"/>
      <c r="AC4829"/>
      <c r="AD4829"/>
    </row>
    <row r="4830" spans="27:30" ht="15">
      <c r="AA4830"/>
      <c r="AB4830"/>
      <c r="AC4830"/>
      <c r="AD4830"/>
    </row>
    <row r="4831" spans="27:30" ht="15">
      <c r="AA4831"/>
      <c r="AB4831"/>
      <c r="AC4831"/>
      <c r="AD4831"/>
    </row>
    <row r="4832" spans="27:30" ht="15">
      <c r="AA4832"/>
      <c r="AB4832"/>
      <c r="AC4832"/>
      <c r="AD4832"/>
    </row>
    <row r="4833" spans="27:30" ht="15">
      <c r="AA4833"/>
      <c r="AB4833"/>
      <c r="AC4833"/>
      <c r="AD4833"/>
    </row>
    <row r="4834" spans="27:30" ht="15">
      <c r="AA4834"/>
      <c r="AB4834"/>
      <c r="AC4834"/>
      <c r="AD4834"/>
    </row>
    <row r="4835" spans="27:30" ht="15">
      <c r="AA4835"/>
      <c r="AB4835"/>
      <c r="AC4835"/>
      <c r="AD4835"/>
    </row>
    <row r="4836" spans="27:30" ht="15">
      <c r="AA4836"/>
      <c r="AB4836"/>
      <c r="AC4836"/>
      <c r="AD4836"/>
    </row>
    <row r="4837" spans="27:30" ht="15">
      <c r="AA4837"/>
      <c r="AB4837"/>
      <c r="AC4837"/>
      <c r="AD4837"/>
    </row>
    <row r="4838" spans="27:30" ht="15">
      <c r="AA4838"/>
      <c r="AB4838"/>
      <c r="AC4838"/>
      <c r="AD4838"/>
    </row>
    <row r="4839" spans="27:30" ht="15">
      <c r="AA4839"/>
      <c r="AB4839"/>
      <c r="AC4839"/>
      <c r="AD4839"/>
    </row>
    <row r="4840" spans="27:30" ht="15">
      <c r="AA4840"/>
      <c r="AB4840"/>
      <c r="AC4840"/>
      <c r="AD4840"/>
    </row>
    <row r="4841" spans="27:30" ht="15">
      <c r="AA4841"/>
      <c r="AB4841"/>
      <c r="AC4841"/>
      <c r="AD4841"/>
    </row>
    <row r="4842" spans="27:30" ht="15">
      <c r="AA4842"/>
      <c r="AB4842"/>
      <c r="AC4842"/>
      <c r="AD4842"/>
    </row>
    <row r="4843" spans="27:30" ht="15">
      <c r="AA4843"/>
      <c r="AB4843"/>
      <c r="AC4843"/>
      <c r="AD4843"/>
    </row>
    <row r="4844" spans="27:30" ht="15">
      <c r="AA4844"/>
      <c r="AB4844"/>
      <c r="AC4844"/>
      <c r="AD4844"/>
    </row>
    <row r="4845" spans="27:30" ht="15">
      <c r="AA4845"/>
      <c r="AB4845"/>
      <c r="AC4845"/>
      <c r="AD4845"/>
    </row>
    <row r="4846" spans="27:30" ht="15">
      <c r="AA4846"/>
      <c r="AB4846"/>
      <c r="AC4846"/>
      <c r="AD4846"/>
    </row>
    <row r="4847" spans="27:30" ht="15">
      <c r="AA4847"/>
      <c r="AB4847"/>
      <c r="AC4847"/>
      <c r="AD4847"/>
    </row>
    <row r="4848" spans="27:30" ht="15">
      <c r="AA4848"/>
      <c r="AB4848"/>
      <c r="AC4848"/>
      <c r="AD4848"/>
    </row>
    <row r="4849" spans="27:30" ht="15">
      <c r="AA4849"/>
      <c r="AB4849"/>
      <c r="AC4849"/>
      <c r="AD4849"/>
    </row>
    <row r="4850" spans="27:30" ht="15">
      <c r="AA4850"/>
      <c r="AB4850"/>
      <c r="AC4850"/>
      <c r="AD4850"/>
    </row>
    <row r="4851" spans="27:30" ht="15">
      <c r="AA4851"/>
      <c r="AB4851"/>
      <c r="AC4851"/>
      <c r="AD4851"/>
    </row>
    <row r="4852" spans="27:30" ht="15">
      <c r="AA4852"/>
      <c r="AB4852"/>
      <c r="AC4852"/>
      <c r="AD4852"/>
    </row>
    <row r="4853" spans="27:30" ht="15">
      <c r="AA4853"/>
      <c r="AB4853"/>
      <c r="AC4853"/>
      <c r="AD4853"/>
    </row>
    <row r="4854" spans="27:30" ht="15">
      <c r="AA4854"/>
      <c r="AB4854"/>
      <c r="AC4854"/>
      <c r="AD4854"/>
    </row>
    <row r="4855" spans="27:30" ht="15">
      <c r="AA4855"/>
      <c r="AB4855"/>
      <c r="AC4855"/>
      <c r="AD4855"/>
    </row>
    <row r="4856" spans="27:30" ht="15">
      <c r="AA4856"/>
      <c r="AB4856"/>
      <c r="AC4856"/>
      <c r="AD4856"/>
    </row>
    <row r="4857" spans="27:30" ht="15">
      <c r="AA4857"/>
      <c r="AB4857"/>
      <c r="AC4857"/>
      <c r="AD4857"/>
    </row>
    <row r="4858" spans="27:30" ht="15">
      <c r="AA4858"/>
      <c r="AB4858"/>
      <c r="AC4858"/>
      <c r="AD4858"/>
    </row>
    <row r="4859" spans="27:30" ht="15">
      <c r="AA4859"/>
      <c r="AB4859"/>
      <c r="AC4859"/>
      <c r="AD4859"/>
    </row>
    <row r="4860" spans="27:30" ht="15">
      <c r="AA4860"/>
      <c r="AB4860"/>
      <c r="AC4860"/>
      <c r="AD4860"/>
    </row>
    <row r="4861" spans="27:30" ht="15">
      <c r="AA4861"/>
      <c r="AB4861"/>
      <c r="AC4861"/>
      <c r="AD4861"/>
    </row>
    <row r="4862" spans="27:30" ht="15">
      <c r="AA4862"/>
      <c r="AB4862"/>
      <c r="AC4862"/>
      <c r="AD4862"/>
    </row>
    <row r="4863" spans="27:30" ht="15">
      <c r="AA4863"/>
      <c r="AB4863"/>
      <c r="AC4863"/>
      <c r="AD4863"/>
    </row>
    <row r="4864" spans="27:30" ht="15">
      <c r="AA4864"/>
      <c r="AB4864"/>
      <c r="AC4864"/>
      <c r="AD4864"/>
    </row>
    <row r="4865" spans="27:30" ht="15">
      <c r="AA4865"/>
      <c r="AB4865"/>
      <c r="AC4865"/>
      <c r="AD4865"/>
    </row>
    <row r="4866" spans="27:30" ht="15">
      <c r="AA4866"/>
      <c r="AB4866"/>
      <c r="AC4866"/>
      <c r="AD4866"/>
    </row>
    <row r="4867" spans="27:30" ht="15">
      <c r="AA4867"/>
      <c r="AB4867"/>
      <c r="AC4867"/>
      <c r="AD4867"/>
    </row>
    <row r="4868" spans="27:30" ht="15">
      <c r="AA4868"/>
      <c r="AB4868"/>
      <c r="AC4868"/>
      <c r="AD4868"/>
    </row>
    <row r="4869" spans="27:30" ht="15">
      <c r="AA4869"/>
      <c r="AB4869"/>
      <c r="AC4869"/>
      <c r="AD4869"/>
    </row>
    <row r="4870" spans="27:30" ht="15">
      <c r="AA4870"/>
      <c r="AB4870"/>
      <c r="AC4870"/>
      <c r="AD4870"/>
    </row>
    <row r="4871" spans="27:30" ht="15">
      <c r="AA4871"/>
      <c r="AB4871"/>
      <c r="AC4871"/>
      <c r="AD4871"/>
    </row>
    <row r="4872" spans="27:30" ht="15">
      <c r="AA4872"/>
      <c r="AB4872"/>
      <c r="AC4872"/>
      <c r="AD4872"/>
    </row>
    <row r="4873" spans="27:30" ht="15">
      <c r="AA4873"/>
      <c r="AB4873"/>
      <c r="AC4873"/>
      <c r="AD4873"/>
    </row>
    <row r="4874" spans="27:30" ht="15">
      <c r="AA4874"/>
      <c r="AB4874"/>
      <c r="AC4874"/>
      <c r="AD4874"/>
    </row>
    <row r="4875" spans="27:30" ht="15">
      <c r="AA4875"/>
      <c r="AB4875"/>
      <c r="AC4875"/>
      <c r="AD4875"/>
    </row>
    <row r="4876" spans="27:30" ht="15">
      <c r="AA4876"/>
      <c r="AB4876"/>
      <c r="AC4876"/>
      <c r="AD4876"/>
    </row>
    <row r="4877" spans="27:30" ht="15">
      <c r="AA4877"/>
      <c r="AB4877"/>
      <c r="AC4877"/>
      <c r="AD4877"/>
    </row>
    <row r="4878" spans="27:30" ht="15">
      <c r="AA4878"/>
      <c r="AB4878"/>
      <c r="AC4878"/>
      <c r="AD4878"/>
    </row>
    <row r="4879" spans="27:30" ht="15">
      <c r="AA4879"/>
      <c r="AB4879"/>
      <c r="AC4879"/>
      <c r="AD4879"/>
    </row>
    <row r="4880" spans="27:30" ht="15">
      <c r="AA4880"/>
      <c r="AB4880"/>
      <c r="AC4880"/>
      <c r="AD4880"/>
    </row>
    <row r="4881" spans="27:30" ht="15">
      <c r="AA4881"/>
      <c r="AB4881"/>
      <c r="AC4881"/>
      <c r="AD4881"/>
    </row>
    <row r="4882" spans="27:30" ht="15">
      <c r="AA4882"/>
      <c r="AB4882"/>
      <c r="AC4882"/>
      <c r="AD4882"/>
    </row>
    <row r="4883" spans="27:30" ht="15">
      <c r="AA4883"/>
      <c r="AB4883"/>
      <c r="AC4883"/>
      <c r="AD4883"/>
    </row>
    <row r="4884" spans="27:30" ht="15">
      <c r="AA4884"/>
      <c r="AB4884"/>
      <c r="AC4884"/>
      <c r="AD4884"/>
    </row>
    <row r="4885" spans="27:30" ht="15">
      <c r="AA4885"/>
      <c r="AB4885"/>
      <c r="AC4885"/>
      <c r="AD4885"/>
    </row>
    <row r="4886" spans="27:30" ht="15">
      <c r="AA4886"/>
      <c r="AB4886"/>
      <c r="AC4886"/>
      <c r="AD4886"/>
    </row>
    <row r="4887" spans="27:30" ht="15">
      <c r="AA4887"/>
      <c r="AB4887"/>
      <c r="AC4887"/>
      <c r="AD4887"/>
    </row>
    <row r="4888" spans="27:30" ht="15">
      <c r="AA4888"/>
      <c r="AB4888"/>
      <c r="AC4888"/>
      <c r="AD4888"/>
    </row>
    <row r="4889" spans="27:30" ht="15">
      <c r="AA4889"/>
      <c r="AB4889"/>
      <c r="AC4889"/>
      <c r="AD4889"/>
    </row>
    <row r="4890" spans="27:30" ht="15">
      <c r="AA4890"/>
      <c r="AB4890"/>
      <c r="AC4890"/>
      <c r="AD4890"/>
    </row>
    <row r="4891" spans="27:30" ht="15">
      <c r="AA4891"/>
      <c r="AB4891"/>
      <c r="AC4891"/>
      <c r="AD4891"/>
    </row>
    <row r="4892" spans="27:30" ht="15">
      <c r="AA4892"/>
      <c r="AB4892"/>
      <c r="AC4892"/>
      <c r="AD4892"/>
    </row>
    <row r="4893" spans="27:30" ht="15">
      <c r="AA4893"/>
      <c r="AB4893"/>
      <c r="AC4893"/>
      <c r="AD4893"/>
    </row>
    <row r="4894" spans="27:30" ht="15">
      <c r="AA4894"/>
      <c r="AB4894"/>
      <c r="AC4894"/>
      <c r="AD4894"/>
    </row>
    <row r="4895" spans="27:30" ht="15">
      <c r="AA4895"/>
      <c r="AB4895"/>
      <c r="AC4895"/>
      <c r="AD4895"/>
    </row>
    <row r="4896" spans="27:30" ht="15">
      <c r="AA4896"/>
      <c r="AB4896"/>
      <c r="AC4896"/>
      <c r="AD4896"/>
    </row>
    <row r="4897" spans="27:30" ht="15">
      <c r="AA4897"/>
      <c r="AB4897"/>
      <c r="AC4897"/>
      <c r="AD4897"/>
    </row>
    <row r="4898" spans="27:30" ht="15">
      <c r="AA4898"/>
      <c r="AB4898"/>
      <c r="AC4898"/>
      <c r="AD4898"/>
    </row>
    <row r="4899" spans="27:30" ht="15">
      <c r="AA4899"/>
      <c r="AB4899"/>
      <c r="AC4899"/>
      <c r="AD4899"/>
    </row>
    <row r="4900" spans="27:30" ht="15">
      <c r="AA4900"/>
      <c r="AB4900"/>
      <c r="AC4900"/>
      <c r="AD4900"/>
    </row>
    <row r="4901" spans="27:30" ht="15">
      <c r="AA4901"/>
      <c r="AB4901"/>
      <c r="AC4901"/>
      <c r="AD4901"/>
    </row>
    <row r="4902" spans="27:30" ht="15">
      <c r="AA4902"/>
      <c r="AB4902"/>
      <c r="AC4902"/>
      <c r="AD4902"/>
    </row>
    <row r="4903" spans="27:30" ht="15">
      <c r="AA4903"/>
      <c r="AB4903"/>
      <c r="AC4903"/>
      <c r="AD4903"/>
    </row>
    <row r="4904" spans="27:30" ht="15">
      <c r="AA4904"/>
      <c r="AB4904"/>
      <c r="AC4904"/>
      <c r="AD4904"/>
    </row>
    <row r="4905" spans="27:30" ht="15">
      <c r="AA4905"/>
      <c r="AB4905"/>
      <c r="AC4905"/>
      <c r="AD4905"/>
    </row>
    <row r="4906" spans="27:30" ht="15">
      <c r="AA4906"/>
      <c r="AB4906"/>
      <c r="AC4906"/>
      <c r="AD4906"/>
    </row>
    <row r="4907" spans="27:30" ht="15">
      <c r="AA4907"/>
      <c r="AB4907"/>
      <c r="AC4907"/>
      <c r="AD4907"/>
    </row>
    <row r="4908" spans="27:30" ht="15">
      <c r="AA4908"/>
      <c r="AB4908"/>
      <c r="AC4908"/>
      <c r="AD4908"/>
    </row>
    <row r="4909" spans="27:30" ht="15">
      <c r="AA4909"/>
      <c r="AB4909"/>
      <c r="AC4909"/>
      <c r="AD4909"/>
    </row>
    <row r="4910" spans="27:30" ht="15">
      <c r="AA4910"/>
      <c r="AB4910"/>
      <c r="AC4910"/>
      <c r="AD4910"/>
    </row>
    <row r="4911" spans="27:30" ht="15">
      <c r="AA4911"/>
      <c r="AB4911"/>
      <c r="AC4911"/>
      <c r="AD4911"/>
    </row>
    <row r="4912" spans="27:30" ht="15">
      <c r="AA4912"/>
      <c r="AB4912"/>
      <c r="AC4912"/>
      <c r="AD4912"/>
    </row>
    <row r="4913" spans="27:30" ht="15">
      <c r="AA4913"/>
      <c r="AB4913"/>
      <c r="AC4913"/>
      <c r="AD4913"/>
    </row>
    <row r="4914" spans="27:30" ht="15">
      <c r="AA4914"/>
      <c r="AB4914"/>
      <c r="AC4914"/>
      <c r="AD4914"/>
    </row>
    <row r="4915" spans="27:30" ht="15">
      <c r="AA4915"/>
      <c r="AB4915"/>
      <c r="AC4915"/>
      <c r="AD4915"/>
    </row>
    <row r="4916" spans="27:30" ht="15">
      <c r="AA4916"/>
      <c r="AB4916"/>
      <c r="AC4916"/>
      <c r="AD4916"/>
    </row>
    <row r="4917" spans="27:30" ht="15">
      <c r="AA4917"/>
      <c r="AB4917"/>
      <c r="AC4917"/>
      <c r="AD4917"/>
    </row>
    <row r="4918" spans="27:30" ht="15">
      <c r="AA4918"/>
      <c r="AB4918"/>
      <c r="AC4918"/>
      <c r="AD4918"/>
    </row>
    <row r="4919" spans="27:30" ht="15">
      <c r="AA4919"/>
      <c r="AB4919"/>
      <c r="AC4919"/>
      <c r="AD4919"/>
    </row>
    <row r="4920" spans="27:30" ht="15">
      <c r="AA4920"/>
      <c r="AB4920"/>
      <c r="AC4920"/>
      <c r="AD4920"/>
    </row>
    <row r="4921" spans="27:30" ht="15">
      <c r="AA4921"/>
      <c r="AB4921"/>
      <c r="AC4921"/>
      <c r="AD4921"/>
    </row>
    <row r="4922" spans="27:30" ht="15">
      <c r="AA4922"/>
      <c r="AB4922"/>
      <c r="AC4922"/>
      <c r="AD4922"/>
    </row>
    <row r="4923" spans="27:30" ht="15">
      <c r="AA4923"/>
      <c r="AB4923"/>
      <c r="AC4923"/>
      <c r="AD4923"/>
    </row>
    <row r="4924" spans="27:30" ht="15">
      <c r="AA4924"/>
      <c r="AB4924"/>
      <c r="AC4924"/>
      <c r="AD4924"/>
    </row>
    <row r="4925" spans="27:30" ht="15">
      <c r="AA4925"/>
      <c r="AB4925"/>
      <c r="AC4925"/>
      <c r="AD4925"/>
    </row>
    <row r="4926" spans="27:30" ht="15">
      <c r="AA4926"/>
      <c r="AB4926"/>
      <c r="AC4926"/>
      <c r="AD4926"/>
    </row>
    <row r="4927" spans="27:30" ht="15">
      <c r="AA4927"/>
      <c r="AB4927"/>
      <c r="AC4927"/>
      <c r="AD4927"/>
    </row>
    <row r="4928" spans="27:30" ht="15">
      <c r="AA4928"/>
      <c r="AB4928"/>
      <c r="AC4928"/>
      <c r="AD4928"/>
    </row>
    <row r="4929" spans="27:30" ht="15">
      <c r="AA4929"/>
      <c r="AB4929"/>
      <c r="AC4929"/>
      <c r="AD4929"/>
    </row>
    <row r="4930" spans="27:30" ht="15">
      <c r="AA4930"/>
      <c r="AB4930"/>
      <c r="AC4930"/>
      <c r="AD4930"/>
    </row>
    <row r="4931" spans="27:30" ht="15">
      <c r="AA4931"/>
      <c r="AB4931"/>
      <c r="AC4931"/>
      <c r="AD4931"/>
    </row>
    <row r="4932" spans="27:30" ht="15">
      <c r="AA4932"/>
      <c r="AB4932"/>
      <c r="AC4932"/>
      <c r="AD4932"/>
    </row>
    <row r="4933" spans="27:30" ht="15">
      <c r="AA4933"/>
      <c r="AB4933"/>
      <c r="AC4933"/>
      <c r="AD4933"/>
    </row>
    <row r="4934" spans="27:30" ht="15">
      <c r="AA4934"/>
      <c r="AB4934"/>
      <c r="AC4934"/>
      <c r="AD4934"/>
    </row>
    <row r="4935" spans="27:30" ht="15">
      <c r="AA4935"/>
      <c r="AB4935"/>
      <c r="AC4935"/>
      <c r="AD4935"/>
    </row>
    <row r="4936" spans="27:30" ht="15">
      <c r="AA4936"/>
      <c r="AB4936"/>
      <c r="AC4936"/>
      <c r="AD4936"/>
    </row>
    <row r="4937" spans="27:30" ht="15">
      <c r="AA4937"/>
      <c r="AB4937"/>
      <c r="AC4937"/>
      <c r="AD4937"/>
    </row>
    <row r="4938" spans="27:30" ht="15">
      <c r="AA4938"/>
      <c r="AB4938"/>
      <c r="AC4938"/>
      <c r="AD4938"/>
    </row>
    <row r="4939" spans="27:30" ht="15">
      <c r="AA4939"/>
      <c r="AB4939"/>
      <c r="AC4939"/>
      <c r="AD4939"/>
    </row>
    <row r="4940" spans="27:30" ht="15">
      <c r="AA4940"/>
      <c r="AB4940"/>
      <c r="AC4940"/>
      <c r="AD4940"/>
    </row>
    <row r="4941" spans="27:30" ht="15">
      <c r="AA4941"/>
      <c r="AB4941"/>
      <c r="AC4941"/>
      <c r="AD4941"/>
    </row>
    <row r="4942" spans="27:30" ht="15">
      <c r="AA4942"/>
      <c r="AB4942"/>
      <c r="AC4942"/>
      <c r="AD4942"/>
    </row>
    <row r="4943" spans="27:30" ht="15">
      <c r="AA4943"/>
      <c r="AB4943"/>
      <c r="AC4943"/>
      <c r="AD4943"/>
    </row>
    <row r="4944" spans="27:30" ht="15">
      <c r="AA4944"/>
      <c r="AB4944"/>
      <c r="AC4944"/>
      <c r="AD4944"/>
    </row>
    <row r="4945" spans="27:30" ht="15">
      <c r="AA4945"/>
      <c r="AB4945"/>
      <c r="AC4945"/>
      <c r="AD4945"/>
    </row>
    <row r="4946" spans="27:30" ht="15">
      <c r="AA4946"/>
      <c r="AB4946"/>
      <c r="AC4946"/>
      <c r="AD4946"/>
    </row>
    <row r="4947" spans="27:30" ht="15">
      <c r="AA4947"/>
      <c r="AB4947"/>
      <c r="AC4947"/>
      <c r="AD4947"/>
    </row>
    <row r="4948" spans="27:30" ht="15">
      <c r="AA4948"/>
      <c r="AB4948"/>
      <c r="AC4948"/>
      <c r="AD4948"/>
    </row>
    <row r="4949" spans="27:30" ht="15">
      <c r="AA4949"/>
      <c r="AB4949"/>
      <c r="AC4949"/>
      <c r="AD4949"/>
    </row>
    <row r="4950" spans="27:30" ht="15">
      <c r="AA4950"/>
      <c r="AB4950"/>
      <c r="AC4950"/>
      <c r="AD4950"/>
    </row>
    <row r="4951" spans="27:30" ht="15">
      <c r="AA4951"/>
      <c r="AB4951"/>
      <c r="AC4951"/>
      <c r="AD4951"/>
    </row>
    <row r="4952" spans="27:30" ht="15">
      <c r="AA4952"/>
      <c r="AB4952"/>
      <c r="AC4952"/>
      <c r="AD4952"/>
    </row>
    <row r="4953" spans="27:30" ht="15">
      <c r="AA4953"/>
      <c r="AB4953"/>
      <c r="AC4953"/>
      <c r="AD4953"/>
    </row>
    <row r="4954" spans="27:30" ht="15">
      <c r="AA4954"/>
      <c r="AB4954"/>
      <c r="AC4954"/>
      <c r="AD4954"/>
    </row>
    <row r="4955" spans="27:30" ht="15">
      <c r="AA4955"/>
      <c r="AB4955"/>
      <c r="AC4955"/>
      <c r="AD4955"/>
    </row>
    <row r="4956" spans="27:30" ht="15">
      <c r="AA4956"/>
      <c r="AB4956"/>
      <c r="AC4956"/>
      <c r="AD4956"/>
    </row>
    <row r="4957" spans="27:30" ht="15">
      <c r="AA4957"/>
      <c r="AB4957"/>
      <c r="AC4957"/>
      <c r="AD4957"/>
    </row>
    <row r="4958" spans="27:30" ht="15">
      <c r="AA4958"/>
      <c r="AB4958"/>
      <c r="AC4958"/>
      <c r="AD4958"/>
    </row>
    <row r="4959" spans="27:30" ht="15">
      <c r="AA4959"/>
      <c r="AB4959"/>
      <c r="AC4959"/>
      <c r="AD4959"/>
    </row>
    <row r="4960" spans="27:30" ht="15">
      <c r="AA4960"/>
      <c r="AB4960"/>
      <c r="AC4960"/>
      <c r="AD4960"/>
    </row>
    <row r="4961" spans="27:30" ht="15">
      <c r="AA4961"/>
      <c r="AB4961"/>
      <c r="AC4961"/>
      <c r="AD4961"/>
    </row>
    <row r="4962" spans="27:30" ht="15">
      <c r="AA4962"/>
      <c r="AB4962"/>
      <c r="AC4962"/>
      <c r="AD4962"/>
    </row>
    <row r="4963" spans="27:30" ht="15">
      <c r="AA4963"/>
      <c r="AB4963"/>
      <c r="AC4963"/>
      <c r="AD4963"/>
    </row>
    <row r="4964" spans="27:30" ht="15">
      <c r="AA4964"/>
      <c r="AB4964"/>
      <c r="AC4964"/>
      <c r="AD4964"/>
    </row>
    <row r="4965" spans="27:30" ht="15">
      <c r="AA4965"/>
      <c r="AB4965"/>
      <c r="AC4965"/>
      <c r="AD4965"/>
    </row>
    <row r="4966" spans="27:30" ht="15">
      <c r="AA4966"/>
      <c r="AB4966"/>
      <c r="AC4966"/>
      <c r="AD4966"/>
    </row>
    <row r="4967" spans="27:30" ht="15">
      <c r="AA4967"/>
      <c r="AB4967"/>
      <c r="AC4967"/>
      <c r="AD4967"/>
    </row>
    <row r="4968" spans="27:30" ht="15">
      <c r="AA4968"/>
      <c r="AB4968"/>
      <c r="AC4968"/>
      <c r="AD4968"/>
    </row>
    <row r="4969" spans="27:30" ht="15">
      <c r="AA4969"/>
      <c r="AB4969"/>
      <c r="AC4969"/>
      <c r="AD4969"/>
    </row>
    <row r="4970" spans="27:30" ht="15">
      <c r="AA4970"/>
      <c r="AB4970"/>
      <c r="AC4970"/>
      <c r="AD4970"/>
    </row>
    <row r="4971" spans="27:30" ht="15">
      <c r="AA4971"/>
      <c r="AB4971"/>
      <c r="AC4971"/>
      <c r="AD4971"/>
    </row>
    <row r="4972" spans="27:30" ht="15">
      <c r="AA4972"/>
      <c r="AB4972"/>
      <c r="AC4972"/>
      <c r="AD4972"/>
    </row>
    <row r="4973" spans="27:30" ht="15">
      <c r="AA4973"/>
      <c r="AB4973"/>
      <c r="AC4973"/>
      <c r="AD4973"/>
    </row>
    <row r="4974" spans="27:30" ht="15">
      <c r="AA4974"/>
      <c r="AB4974"/>
      <c r="AC4974"/>
      <c r="AD4974"/>
    </row>
    <row r="4975" spans="27:30" ht="15">
      <c r="AA4975"/>
      <c r="AB4975"/>
      <c r="AC4975"/>
      <c r="AD4975"/>
    </row>
    <row r="4976" spans="27:30" ht="15">
      <c r="AA4976"/>
      <c r="AB4976"/>
      <c r="AC4976"/>
      <c r="AD4976"/>
    </row>
    <row r="4977" spans="27:30" ht="15">
      <c r="AA4977"/>
      <c r="AB4977"/>
      <c r="AC4977"/>
      <c r="AD4977"/>
    </row>
    <row r="4978" spans="27:30" ht="15">
      <c r="AA4978"/>
      <c r="AB4978"/>
      <c r="AC4978"/>
      <c r="AD4978"/>
    </row>
    <row r="4979" spans="27:30" ht="15">
      <c r="AA4979"/>
      <c r="AB4979"/>
      <c r="AC4979"/>
      <c r="AD4979"/>
    </row>
    <row r="4980" spans="27:30" ht="15">
      <c r="AA4980"/>
      <c r="AB4980"/>
      <c r="AC4980"/>
      <c r="AD4980"/>
    </row>
    <row r="4981" spans="27:30" ht="15">
      <c r="AA4981"/>
      <c r="AB4981"/>
      <c r="AC4981"/>
      <c r="AD4981"/>
    </row>
    <row r="4982" spans="27:30" ht="15">
      <c r="AA4982"/>
      <c r="AB4982"/>
      <c r="AC4982"/>
      <c r="AD4982"/>
    </row>
    <row r="4983" spans="27:30" ht="15">
      <c r="AA4983"/>
      <c r="AB4983"/>
      <c r="AC4983"/>
      <c r="AD4983"/>
    </row>
    <row r="4984" spans="27:30" ht="15">
      <c r="AA4984"/>
      <c r="AB4984"/>
      <c r="AC4984"/>
      <c r="AD4984"/>
    </row>
    <row r="4985" spans="27:30" ht="15">
      <c r="AA4985"/>
      <c r="AB4985"/>
      <c r="AC4985"/>
      <c r="AD4985"/>
    </row>
    <row r="4986" spans="27:30" ht="15">
      <c r="AA4986"/>
      <c r="AB4986"/>
      <c r="AC4986"/>
      <c r="AD4986"/>
    </row>
    <row r="4987" spans="27:30" ht="15">
      <c r="AA4987"/>
      <c r="AB4987"/>
      <c r="AC4987"/>
      <c r="AD4987"/>
    </row>
    <row r="4988" spans="27:30" ht="15">
      <c r="AA4988"/>
      <c r="AB4988"/>
      <c r="AC4988"/>
      <c r="AD4988"/>
    </row>
    <row r="4989" spans="27:30" ht="15">
      <c r="AA4989"/>
      <c r="AB4989"/>
      <c r="AC4989"/>
      <c r="AD4989"/>
    </row>
    <row r="4990" spans="27:30" ht="15">
      <c r="AA4990"/>
      <c r="AB4990"/>
      <c r="AC4990"/>
      <c r="AD4990"/>
    </row>
    <row r="4991" spans="27:30" ht="15">
      <c r="AA4991"/>
      <c r="AB4991"/>
      <c r="AC4991"/>
      <c r="AD4991"/>
    </row>
    <row r="4992" spans="27:30" ht="15">
      <c r="AA4992"/>
      <c r="AB4992"/>
      <c r="AC4992"/>
      <c r="AD4992"/>
    </row>
    <row r="4993" spans="27:30" ht="15">
      <c r="AA4993"/>
      <c r="AB4993"/>
      <c r="AC4993"/>
      <c r="AD4993"/>
    </row>
    <row r="4994" spans="27:30" ht="15">
      <c r="AA4994"/>
      <c r="AB4994"/>
      <c r="AC4994"/>
      <c r="AD4994"/>
    </row>
    <row r="4995" spans="27:30" ht="15">
      <c r="AA4995"/>
      <c r="AB4995"/>
      <c r="AC4995"/>
      <c r="AD4995"/>
    </row>
    <row r="4996" spans="27:30" ht="15">
      <c r="AA4996"/>
      <c r="AB4996"/>
      <c r="AC4996"/>
      <c r="AD4996"/>
    </row>
    <row r="4997" spans="27:30" ht="15">
      <c r="AA4997"/>
      <c r="AB4997"/>
      <c r="AC4997"/>
      <c r="AD4997"/>
    </row>
    <row r="4998" spans="27:30" ht="15">
      <c r="AA4998"/>
      <c r="AB4998"/>
      <c r="AC4998"/>
      <c r="AD4998"/>
    </row>
    <row r="4999" spans="27:30" ht="15">
      <c r="AA4999"/>
      <c r="AB4999"/>
      <c r="AC4999"/>
      <c r="AD4999"/>
    </row>
    <row r="5000" spans="27:30" ht="15">
      <c r="AA5000"/>
      <c r="AB5000"/>
      <c r="AC5000"/>
      <c r="AD5000"/>
    </row>
    <row r="5001" spans="27:30" ht="15">
      <c r="AA5001"/>
      <c r="AB5001"/>
      <c r="AC5001"/>
      <c r="AD5001"/>
    </row>
  </sheetData>
  <sheetProtection formatColumns="0"/>
  <mergeCells count="6">
    <mergeCell ref="F1:F2"/>
    <mergeCell ref="A1:A2"/>
    <mergeCell ref="D1:D2"/>
    <mergeCell ref="B1:B2"/>
    <mergeCell ref="C1:C2"/>
    <mergeCell ref="E1:E2"/>
  </mergeCells>
  <conditionalFormatting sqref="C3:F7 C35:F1048576 F22 C12 C8 E8:F8 C23:F24 E12:F12 C14:F21">
    <cfRule type="cellIs" dxfId="16" priority="41" operator="equal">
      <formula>"NA"</formula>
    </cfRule>
  </conditionalFormatting>
  <conditionalFormatting sqref="C9:F9 C10:E11">
    <cfRule type="cellIs" dxfId="15" priority="35" operator="equal">
      <formula>"NA"</formula>
    </cfRule>
  </conditionalFormatting>
  <conditionalFormatting sqref="D1">
    <cfRule type="cellIs" dxfId="14" priority="33" operator="equal">
      <formula>"NA"</formula>
    </cfRule>
  </conditionalFormatting>
  <conditionalFormatting sqref="C13 E13:F13">
    <cfRule type="cellIs" dxfId="13" priority="22" operator="equal">
      <formula>"NA"</formula>
    </cfRule>
  </conditionalFormatting>
  <conditionalFormatting sqref="C22:D22">
    <cfRule type="cellIs" dxfId="12" priority="20" operator="equal">
      <formula>"NA"</formula>
    </cfRule>
  </conditionalFormatting>
  <conditionalFormatting sqref="C34:E34">
    <cfRule type="cellIs" dxfId="11" priority="10" operator="equal">
      <formula>"NA"</formula>
    </cfRule>
  </conditionalFormatting>
  <conditionalFormatting sqref="E22">
    <cfRule type="cellIs" dxfId="10" priority="9" operator="equal">
      <formula>"NA"</formula>
    </cfRule>
  </conditionalFormatting>
  <conditionalFormatting sqref="E31">
    <cfRule type="cellIs" dxfId="9" priority="7" operator="equal">
      <formula>"NA"</formula>
    </cfRule>
  </conditionalFormatting>
  <conditionalFormatting sqref="F28 C26:F27">
    <cfRule type="cellIs" dxfId="8" priority="15" operator="equal">
      <formula>"NA"</formula>
    </cfRule>
  </conditionalFormatting>
  <conditionalFormatting sqref="C23:F24">
    <cfRule type="cellIs" dxfId="7" priority="14" operator="equal">
      <formula>"NA"</formula>
    </cfRule>
  </conditionalFormatting>
  <conditionalFormatting sqref="C28:E28">
    <cfRule type="cellIs" dxfId="6" priority="13" operator="equal">
      <formula>"NA"</formula>
    </cfRule>
  </conditionalFormatting>
  <conditionalFormatting sqref="C29:F30 F34 C32:F33 C31:D31 F31">
    <cfRule type="cellIs" dxfId="5" priority="12" operator="equal">
      <formula>"NA"</formula>
    </cfRule>
  </conditionalFormatting>
  <conditionalFormatting sqref="C29:F29">
    <cfRule type="cellIs" dxfId="4" priority="11" operator="equal">
      <formula>"NA"</formula>
    </cfRule>
  </conditionalFormatting>
  <conditionalFormatting sqref="F10:F11">
    <cfRule type="cellIs" dxfId="3" priority="6" operator="equal">
      <formula>"NA"</formula>
    </cfRule>
  </conditionalFormatting>
  <conditionalFormatting sqref="D8">
    <cfRule type="cellIs" dxfId="2" priority="5" operator="equal">
      <formula>"NA"</formula>
    </cfRule>
  </conditionalFormatting>
  <conditionalFormatting sqref="C25:F25">
    <cfRule type="cellIs" dxfId="1" priority="3" operator="equal">
      <formula>"NA"</formula>
    </cfRule>
  </conditionalFormatting>
  <conditionalFormatting sqref="D12:D13">
    <cfRule type="cellIs" dxfId="0" priority="1" operator="equal">
      <formula>"NA"</formula>
    </cfRule>
  </conditionalFormatting>
  <hyperlinks>
    <hyperlink ref="D9" r:id="rId1"/>
  </hyperlinks>
  <pageMargins left="0.7" right="0.7" top="0.75" bottom="0.75" header="0.3" footer="0.3"/>
  <pageSetup orientation="portrait" r:id="rId2"/>
  <headerFooter>
    <oddFooter>&amp;CAT&amp;&amp;T Proprietary (Internal Use Only)</oddFooter>
  </headerFooter>
  <legacyDrawing r:id="rId3"/>
  <controls>
    <control shapeId="6150" r:id="rId4" name="ListBox2"/>
    <control shapeId="6145" r:id="rId5" name="ListBox1"/>
    <control shapeId="6146" r:id="rId6" name="Disabled"/>
    <control shapeId="6147" r:id="rId7" name="Generate_Script"/>
    <control shapeId="6148" r:id="rId8" name="Generate_ManualSteps"/>
    <control shapeId="6149" r:id="rId9" name="Load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Operations</vt:lpstr>
      <vt:lpstr>Manual-Info</vt:lpstr>
      <vt:lpstr>TCGoogle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Vineet Banga</dc:creator>
  <cp:lastModifiedBy>admin</cp:lastModifiedBy>
  <dcterms:created xsi:type="dcterms:W3CDTF">2011-09-29T03:38:53Z</dcterms:created>
  <dcterms:modified xsi:type="dcterms:W3CDTF">2016-04-10T18:47:27Z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_Classification">
    <vt:lpwstr>AT&amp;T Proprietary (Internal Use Only)</vt:lpwstr>
  </property>
</Properties>
</file>